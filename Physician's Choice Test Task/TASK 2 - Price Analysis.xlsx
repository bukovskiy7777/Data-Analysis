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ml.chartshapes+xml"/>
  <Override PartName="/xl/drawings/drawing5.xml" ContentType="application/vnd.openxmlformats-officedocument.drawingml.chartshape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_rels/chart28.xml.rels" ContentType="application/vnd.openxmlformats-package.relationships+xml"/>
  <Override PartName="/xl/charts/_rels/chart29.xml.rels" ContentType="application/vnd.openxmlformats-package.relationships+xml"/>
  <Override PartName="/xl/sharedStrings.xml" ContentType="application/vnd.openxmlformats-officedocument.spreadsheetml.sharedStrings+xml"/>
  <Override PartName="/xl/media/image1.wmf" ContentType="image/x-wmf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ask" sheetId="1" state="visible" r:id="rId2"/>
    <sheet name="DATA" sheetId="2" state="visible" r:id="rId3"/>
    <sheet name="Product Сlusters" sheetId="3" state="visible" r:id="rId4"/>
    <sheet name="Price Сhanges" sheetId="4" state="visible" r:id="rId5"/>
    <sheet name="Results" sheetId="5" state="visible" r:id="rId6"/>
  </sheets>
  <definedNames>
    <definedName function="false" hidden="true" localSheetId="1" name="_xlnm._FilterDatabase" vbProcedure="false">DATA!$A$1:$K$141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<sst xmlns="http://schemas.openxmlformats.org/spreadsheetml/2006/main" count="653" uniqueCount="118">
  <si>
    <t xml:space="preserve">Business Case:</t>
  </si>
  <si>
    <t xml:space="preserve">We have to make decision regarding price increase of our main product for 10%.</t>
  </si>
  <si>
    <t xml:space="preserve">Our hope is that price increase will improve Unit economics without hurting sales volume.</t>
  </si>
  <si>
    <t xml:space="preserve">For the final decision, we need to understand how customers will respond to this step.</t>
  </si>
  <si>
    <t xml:space="preserve">Task:</t>
  </si>
  <si>
    <t xml:space="preserve">Using competitors data to analyze how the category responds to the price changes.</t>
  </si>
  <si>
    <t xml:space="preserve">Provide your recommendation: should we increase prices? which effect can we expect?</t>
  </si>
  <si>
    <t xml:space="preserve">Proposed steps:</t>
  </si>
  <si>
    <t xml:space="preserve">Using the data from the worksheet titled 'DATA', please identify the products for which prices have increased or decreased.</t>
  </si>
  <si>
    <t xml:space="preserve">Please visualize any information you believe is important for these products.</t>
  </si>
  <si>
    <t xml:space="preserve">Please provide additional calculations/analysis so we can better anticipate the expected effects of a price change.</t>
  </si>
  <si>
    <t xml:space="preserve">What additional insights can we gain from this analysis?</t>
  </si>
  <si>
    <t xml:space="preserve">Note:</t>
  </si>
  <si>
    <t xml:space="preserve">Please save all intermediate results</t>
  </si>
  <si>
    <t xml:space="preserve">Final results please save on separate worksheet named "Results"</t>
  </si>
  <si>
    <t xml:space="preserve">DATASET DESCRIPTION</t>
  </si>
  <si>
    <t xml:space="preserve">WEEKS</t>
  </si>
  <si>
    <t xml:space="preserve">- Weeks quantity in grouped period</t>
  </si>
  <si>
    <t xml:space="preserve">END DATE</t>
  </si>
  <si>
    <t xml:space="preserve">- End date for grouped period</t>
  </si>
  <si>
    <t xml:space="preserve">BRAND</t>
  </si>
  <si>
    <t xml:space="preserve">- Brand</t>
  </si>
  <si>
    <t xml:space="preserve">PRODUCT</t>
  </si>
  <si>
    <t xml:space="preserve">- Product name</t>
  </si>
  <si>
    <t xml:space="preserve">FORM</t>
  </si>
  <si>
    <t xml:space="preserve">- Product Form</t>
  </si>
  <si>
    <t xml:space="preserve">SIZE</t>
  </si>
  <si>
    <t xml:space="preserve">- Quantity of tablets/capsules etc in one Product Unit</t>
  </si>
  <si>
    <t xml:space="preserve">Dollars</t>
  </si>
  <si>
    <t xml:space="preserve">- Sales amount in dollars</t>
  </si>
  <si>
    <t xml:space="preserve">Units</t>
  </si>
  <si>
    <t xml:space="preserve">- Sales amount in units</t>
  </si>
  <si>
    <t xml:space="preserve">Price</t>
  </si>
  <si>
    <t xml:space="preserve">- Average Retail Price for selected period</t>
  </si>
  <si>
    <t xml:space="preserve"># of Stores</t>
  </si>
  <si>
    <t xml:space="preserve">- Overall unique active stores for selected period</t>
  </si>
  <si>
    <t xml:space="preserve"># of Stores Selling</t>
  </si>
  <si>
    <t xml:space="preserve">- Quantity of unique stores where was sold selected product during selected period</t>
  </si>
  <si>
    <t xml:space="preserve">Additional info:</t>
  </si>
  <si>
    <t xml:space="preserve">Our product form:</t>
  </si>
  <si>
    <t xml:space="preserve">Capsules</t>
  </si>
  <si>
    <t xml:space="preserve">Our product size:</t>
  </si>
  <si>
    <t xml:space="preserve">Our product price:</t>
  </si>
  <si>
    <t xml:space="preserve">Comment:</t>
  </si>
  <si>
    <t xml:space="preserve">Our Brand sales were not provided. You have only competitors data</t>
  </si>
  <si>
    <t xml:space="preserve">Brand 5</t>
  </si>
  <si>
    <t xml:space="preserve">Product 19</t>
  </si>
  <si>
    <t xml:space="preserve">CAPSULE</t>
  </si>
  <si>
    <t xml:space="preserve">Product 21</t>
  </si>
  <si>
    <t xml:space="preserve">Brand 6</t>
  </si>
  <si>
    <t xml:space="preserve">Product 23</t>
  </si>
  <si>
    <t xml:space="preserve">Product 24</t>
  </si>
  <si>
    <t xml:space="preserve">GUMMY</t>
  </si>
  <si>
    <t xml:space="preserve">Brand 8</t>
  </si>
  <si>
    <t xml:space="preserve">Product 28</t>
  </si>
  <si>
    <t xml:space="preserve">Product 29</t>
  </si>
  <si>
    <t xml:space="preserve">Brand 10</t>
  </si>
  <si>
    <t xml:space="preserve">Product 33</t>
  </si>
  <si>
    <t xml:space="preserve">Brand 12</t>
  </si>
  <si>
    <t xml:space="preserve">Product 37</t>
  </si>
  <si>
    <t xml:space="preserve">Product 38</t>
  </si>
  <si>
    <t xml:space="preserve">Product 40</t>
  </si>
  <si>
    <t xml:space="preserve">Max - Price</t>
  </si>
  <si>
    <t xml:space="preserve">Sum - Units</t>
  </si>
  <si>
    <t xml:space="preserve">Sum - Dollars</t>
  </si>
  <si>
    <t xml:space="preserve">% of total</t>
  </si>
  <si>
    <t xml:space="preserve">Price Cluster</t>
  </si>
  <si>
    <t xml:space="preserve">Cluster B</t>
  </si>
  <si>
    <t xml:space="preserve">Cluster C</t>
  </si>
  <si>
    <t xml:space="preserve">Cluster A</t>
  </si>
  <si>
    <t xml:space="preserve">Total</t>
  </si>
  <si>
    <t xml:space="preserve">The products presented can be divided into clusters based on price.   
For example, products 23, 28, 29, and 37 can be roughly assigned to cluster A with the lowest price.   
Cluster B includes products 19, 38, and 40. It's worth noting that product 19 has only 20 capsules per box. Products 38 and 40 have moved from a price of $17 to a price of $20.   
Cluster C includes products 21, 24, and 33 with the highest prices of $26-30.   
Conclusion: Based on price, our product belongs more to cluster B in the $20 price range. Products 38 and 40, however, have moved from a price of $17 to a price of $20. An analysis of sales changes for these products is provided in the Price Changes tab.</t>
  </si>
  <si>
    <t xml:space="preserve">1. Using the data from the worksheet titled 'DATA', please identify the products for which prices have increased or decreased.</t>
  </si>
  <si>
    <t xml:space="preserve">Price before</t>
  </si>
  <si>
    <t xml:space="preserve">For product 24, we observe that an 8.2% price increase resulted in a 58,2% drop in sales. This product belongs to cluster C (higher price), and a further price increase likely led to the sales drop. Unless there were other factors we're unaware of, this is likely due to the price increase.</t>
  </si>
  <si>
    <t xml:space="preserve">Price after</t>
  </si>
  <si>
    <t xml:space="preserve">Price diff</t>
  </si>
  <si>
    <t xml:space="preserve">Units before</t>
  </si>
  <si>
    <t xml:space="preserve">Units after</t>
  </si>
  <si>
    <t xml:space="preserve">Units diff</t>
  </si>
  <si>
    <t xml:space="preserve">% of Stores</t>
  </si>
  <si>
    <t xml:space="preserve">For product 37, we observe that the 31% drop in sales is most likely due to a 60.9% drop in the percentage of stores where the product was sold.</t>
  </si>
  <si>
    <t xml:space="preserve">% of Stores before</t>
  </si>
  <si>
    <t xml:space="preserve">% of Stores after</t>
  </si>
  <si>
    <t xml:space="preserve">% of Stores diff</t>
  </si>
  <si>
    <t xml:space="preserve">For product 38, we observe that a 17.6% price increase resulted in a 5.0% sales decline. This product belongs to cluster B (medium price), and despite a significant price increase, sales fell by only 5%, which may indicate customer trust in the brand and high resilience to price changes. This demonstrates low elasticity of demand.</t>
  </si>
  <si>
    <t xml:space="preserve">Elasticity</t>
  </si>
  <si>
    <t xml:space="preserve">For product 40, we see that a 17.9% price increase resulted in a 2.3% increase in sales. The sharp increase in sales was evident even before the price change, suggesting some additional factor. This product belongs to cluster B (medium price), and despite the significant price increase, sales increased by 2.3%, indicating completely inelastic demand and a high degree of customer loyalty.</t>
  </si>
  <si>
    <t xml:space="preserve">Consider that our product has 30 capsules per box and a price of $19.97. We also consider that it can be assigned to cluster B (Product Clusters page) and compared in behavior with products 19, 38, and 40 from the same cluster.</t>
  </si>
  <si>
    <t xml:space="preserve">We also need to consider competitors' price changes, specifically products 24, 37, 38, and 40 (on the Price Changes page).</t>
  </si>
  <si>
    <t xml:space="preserve">The price change experience for product 24 is not relevant to us, as this product has a significantly higher price category, and the laws of price change may not apply to our product.</t>
  </si>
  <si>
    <t xml:space="preserve">We also cannot consider the price change experience for product 37, as in that case, a change in the number of stores selling the product was a factor, significantly affecting sales volume.</t>
  </si>
  <si>
    <t xml:space="preserve">When the price of product 40 changed before the price increase, there was a sharp increase in sales, indicating the presence of an unknown additional factor influencing customer loyalty and sales volume.</t>
  </si>
  <si>
    <t xml:space="preserve">Therefore, the most appropriate price change model is for product 38, where a 17.6% price increase resulted in a sales decline of approximately 5%.</t>
  </si>
  <si>
    <t xml:space="preserve">In our case, we plan to increase the price by 10% from $19.97 to $21.97. The planned price after the increase will be higher than that of competitors (products 19, 38, and 40). Therefore, we should expect a shift of customers to competitors' products. For product 38, the sales decline could be around 5%.</t>
  </si>
  <si>
    <t xml:space="preserve">However, it should be noted that products 38 and 40 (brand 12) enjoy fairly strong customer loyalty following the price increase. Our sales loss would be around 5%, assuming such high loyalty.</t>
  </si>
  <si>
    <t xml:space="preserve">Given the elasticity coefficient for product 38, we can calculate the expected demand decline in our case: -0.285 * 10% = -2.85%. However, since our product crosses the price range, we will assume a 5% demand decline in our calculations, as observed for product 38.</t>
  </si>
  <si>
    <t xml:space="preserve">Profit calculator</t>
  </si>
  <si>
    <t xml:space="preserve">This calculator will allow you to roughly estimate the increase in profit given other known factors</t>
  </si>
  <si>
    <t xml:space="preserve">1. Initial DATA</t>
  </si>
  <si>
    <t xml:space="preserve">Current price</t>
  </si>
  <si>
    <t xml:space="preserve">USD</t>
  </si>
  <si>
    <t xml:space="preserve">Price increase</t>
  </si>
  <si>
    <t xml:space="preserve">%</t>
  </si>
  <si>
    <t xml:space="preserve">Target price</t>
  </si>
  <si>
    <t xml:space="preserve">Variable Cost (COGS + Fees + Logistics)</t>
  </si>
  <si>
    <t xml:space="preserve">2. Unit Margin </t>
  </si>
  <si>
    <t xml:space="preserve">Current Unit Margin </t>
  </si>
  <si>
    <t xml:space="preserve">Target Unit Margin </t>
  </si>
  <si>
    <t xml:space="preserve">3. Future Sales</t>
  </si>
  <si>
    <t xml:space="preserve">Sales (Units)</t>
  </si>
  <si>
    <t xml:space="preserve">Forecast of Sales decline</t>
  </si>
  <si>
    <t xml:space="preserve">4. Total Profit Impact </t>
  </si>
  <si>
    <t xml:space="preserve">Current Profit</t>
  </si>
  <si>
    <t xml:space="preserve">Target Profit</t>
  </si>
  <si>
    <t xml:space="preserve">Profit increase</t>
  </si>
  <si>
    <t xml:space="preserve">Profit increase, %</t>
  </si>
  <si>
    <t xml:space="preserve">Conclusion: Based on the calculations above, we can conclude that a planned 10% price increase and a planned 5% sales reduction (with a product margin of 50%) will result in a 14% increase in profit. In this case, there is reason to plan for a price increase.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</si>
</sst>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"/>
    <numFmt numFmtId="166" formatCode="\$#,##0.00_);[RED]&quot;($&quot;#,##0.00\)"/>
    <numFmt numFmtId="167" formatCode="m/d/yyyy"/>
    <numFmt numFmtId="168" formatCode="\$#,##0.00;&quot;-$&quot;#,##0.00"/>
    <numFmt numFmtId="169" formatCode="#,##0"/>
    <numFmt numFmtId="170" formatCode="\$#,##0.00"/>
    <numFmt numFmtId="171" formatCode="#,##0.00"/>
    <numFmt numFmtId="172" formatCode="0.0%"/>
    <numFmt numFmtId="173" formatCode="0.00%"/>
    <numFmt numFmtId="174" formatCode="mm/dd/yy"/>
    <numFmt numFmtId="175" formatCode="0"/>
    <numFmt numFmtId="176" formatCode="#,##0.0000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1"/>
      <color rgb="FFFF0000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sz val="12"/>
      <color rgb="FF000000"/>
      <name val="Calibri"/>
      <family val="2"/>
      <charset val="1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6F9D4"/>
        <bgColor rgb="FFFFFFFF"/>
      </patternFill>
    </fill>
    <fill>
      <patternFill patternType="solid">
        <fgColor rgb="FFFFDBB6"/>
        <bgColor rgb="FFF6F9D4"/>
      </patternFill>
    </fill>
    <fill>
      <patternFill patternType="solid">
        <fgColor rgb="FFDEE6EF"/>
        <bgColor rgb="FFF6F9D4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3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2" borderId="3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3" borderId="0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4" borderId="0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2" borderId="0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8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0" fillId="2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2" borderId="8" xfId="25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23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6F9D4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79646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_rels/chart28.xml.rels><?xml version="1.0" encoding="UTF-8"?>
<Relationships xmlns="http://schemas.openxmlformats.org/package/2006/relationships"><Relationship Id="rId1" Type="http://schemas.openxmlformats.org/officeDocument/2006/relationships/chartUserShapes" Target="../drawings/drawing4.xml"/>
</Relationships>
</file>

<file path=xl/charts/_rels/chart29.xml.rels><?xml version="1.0" encoding="UTF-8"?>
<Relationships xmlns="http://schemas.openxmlformats.org/package/2006/relationships"><Relationship Id="rId1" Type="http://schemas.openxmlformats.org/officeDocument/2006/relationships/chartUserShapes" Target="../drawings/drawing5.xml"/>
</Relationships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Products clustering by Price, Units sold and Dollars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ubbleChart>
        <c:varyColors val="0"/>
        <c:ser>
          <c:idx val="0"/>
          <c:order val="0"/>
          <c:tx>
            <c:strRef>
              <c:f>'Product Сlusters'!$A$2</c:f>
              <c:strCache>
                <c:ptCount val="1"/>
                <c:pt idx="0">
                  <c:v>PRODUCT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'Product Сlusters'!$E$3:$E$12</c:f>
              <c:numCache>
                <c:formatCode>General</c:formatCode>
                <c:ptCount val="10"/>
                <c:pt idx="0">
                  <c:v>20.06</c:v>
                </c:pt>
                <c:pt idx="1">
                  <c:v>27.57</c:v>
                </c:pt>
                <c:pt idx="2">
                  <c:v>14.86</c:v>
                </c:pt>
                <c:pt idx="3">
                  <c:v>29.99</c:v>
                </c:pt>
                <c:pt idx="4">
                  <c:v>14.36</c:v>
                </c:pt>
                <c:pt idx="5">
                  <c:v>14.42</c:v>
                </c:pt>
                <c:pt idx="6">
                  <c:v>25.97</c:v>
                </c:pt>
                <c:pt idx="7">
                  <c:v>15.97</c:v>
                </c:pt>
                <c:pt idx="8">
                  <c:v>19.99</c:v>
                </c:pt>
                <c:pt idx="9">
                  <c:v>20.02</c:v>
                </c:pt>
              </c:numCache>
            </c:numRef>
          </c:xVal>
          <c:yVal>
            <c:numRef>
              <c:f>'Product Сlusters'!$F$3:$F$12</c:f>
              <c:numCache>
                <c:formatCode>General</c:formatCode>
                <c:ptCount val="10"/>
                <c:pt idx="0">
                  <c:v>206968</c:v>
                </c:pt>
                <c:pt idx="1">
                  <c:v>26486</c:v>
                </c:pt>
                <c:pt idx="2">
                  <c:v>241845</c:v>
                </c:pt>
                <c:pt idx="3">
                  <c:v>278751</c:v>
                </c:pt>
                <c:pt idx="4">
                  <c:v>196254</c:v>
                </c:pt>
                <c:pt idx="5">
                  <c:v>471664</c:v>
                </c:pt>
                <c:pt idx="6">
                  <c:v>211954</c:v>
                </c:pt>
                <c:pt idx="7">
                  <c:v>35365</c:v>
                </c:pt>
                <c:pt idx="8">
                  <c:v>176082</c:v>
                </c:pt>
                <c:pt idx="9">
                  <c:v>356019</c:v>
                </c:pt>
              </c:numCache>
            </c:numRef>
          </c:yVal>
          <c:bubbleSize>
            <c:numRef>
              <c:f>'Product Сlusters'!$G$3:$G$12</c:f>
              <c:numCache>
                <c:formatCode>General</c:formatCode>
                <c:ptCount val="10"/>
                <c:pt idx="0">
                  <c:v>4146620.15</c:v>
                </c:pt>
                <c:pt idx="1">
                  <c:v>726055.02</c:v>
                </c:pt>
                <c:pt idx="2">
                  <c:v>3588330.07</c:v>
                </c:pt>
                <c:pt idx="3">
                  <c:v>7985790.47</c:v>
                </c:pt>
                <c:pt idx="4">
                  <c:v>2812944.58</c:v>
                </c:pt>
                <c:pt idx="5">
                  <c:v>6793236.17</c:v>
                </c:pt>
                <c:pt idx="6">
                  <c:v>5500775.78</c:v>
                </c:pt>
                <c:pt idx="7">
                  <c:v>553283.04</c:v>
                </c:pt>
                <c:pt idx="8">
                  <c:v>3292685.17</c:v>
                </c:pt>
                <c:pt idx="9">
                  <c:v>6771606.48</c:v>
                </c:pt>
              </c:numCache>
            </c:numRef>
          </c:bubbleSize>
          <c:bubble3D val="0"/>
        </c:ser>
        <c:axId val="25399867"/>
        <c:axId val="57198564"/>
      </c:bubbleChart>
      <c:valAx>
        <c:axId val="253998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Product Max price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7198564"/>
        <c:crosses val="autoZero"/>
        <c:crossBetween val="midCat"/>
      </c:valAx>
      <c:valAx>
        <c:axId val="571985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Units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539986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Product 40 - Price changes vs Sales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'Price Сhanges'!$D$127:$D$127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Сhanges'!$A$128:$A$141</c:f>
              <c:strCache>
                <c:ptCount val="14"/>
                <c:pt idx="0">
                  <c:v>01/01/23</c:v>
                </c:pt>
                <c:pt idx="1">
                  <c:v>01/29/23</c:v>
                </c:pt>
                <c:pt idx="2">
                  <c:v>02/26/23</c:v>
                </c:pt>
                <c:pt idx="3">
                  <c:v>03/26/23</c:v>
                </c:pt>
                <c:pt idx="4">
                  <c:v>04/23/23</c:v>
                </c:pt>
                <c:pt idx="5">
                  <c:v>05/21/23</c:v>
                </c:pt>
                <c:pt idx="6">
                  <c:v>06/18/23</c:v>
                </c:pt>
                <c:pt idx="7">
                  <c:v>07/16/23</c:v>
                </c:pt>
                <c:pt idx="8">
                  <c:v>08/13/23</c:v>
                </c:pt>
                <c:pt idx="9">
                  <c:v>09/10/23</c:v>
                </c:pt>
                <c:pt idx="10">
                  <c:v>10/08/23</c:v>
                </c:pt>
                <c:pt idx="11">
                  <c:v>11/05/23</c:v>
                </c:pt>
                <c:pt idx="12">
                  <c:v>12/03/23</c:v>
                </c:pt>
                <c:pt idx="13">
                  <c:v>12/31/23</c:v>
                </c:pt>
              </c:strCache>
            </c:strRef>
          </c:cat>
          <c:val>
            <c:numRef>
              <c:f>'Price Сhanges'!$D$128:$D$141</c:f>
              <c:numCache>
                <c:formatCode>General</c:formatCode>
                <c:ptCount val="14"/>
                <c:pt idx="0">
                  <c:v>16.98</c:v>
                </c:pt>
                <c:pt idx="1">
                  <c:v>16.98</c:v>
                </c:pt>
                <c:pt idx="2">
                  <c:v>16.98</c:v>
                </c:pt>
                <c:pt idx="3">
                  <c:v>16.98</c:v>
                </c:pt>
                <c:pt idx="4">
                  <c:v>17.86</c:v>
                </c:pt>
                <c:pt idx="5">
                  <c:v>19.96</c:v>
                </c:pt>
                <c:pt idx="6">
                  <c:v>20.02</c:v>
                </c:pt>
                <c:pt idx="7">
                  <c:v>20.02</c:v>
                </c:pt>
                <c:pt idx="8">
                  <c:v>20.02</c:v>
                </c:pt>
                <c:pt idx="9">
                  <c:v>20.02</c:v>
                </c:pt>
                <c:pt idx="10">
                  <c:v>20.02</c:v>
                </c:pt>
                <c:pt idx="11">
                  <c:v>20.02</c:v>
                </c:pt>
                <c:pt idx="12">
                  <c:v>20.02</c:v>
                </c:pt>
                <c:pt idx="13">
                  <c:v>20.02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8710694"/>
        <c:axId val="78337879"/>
      </c:lineChart>
      <c:lineChart>
        <c:grouping val="standard"/>
        <c:varyColors val="0"/>
        <c:ser>
          <c:idx val="1"/>
          <c:order val="1"/>
          <c:tx>
            <c:strRef>
              <c:f>'Price Сhanges'!$C$127:$C$127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Сhanges'!$A$128:$A$141</c:f>
              <c:strCache>
                <c:ptCount val="14"/>
                <c:pt idx="0">
                  <c:v>01/01/23</c:v>
                </c:pt>
                <c:pt idx="1">
                  <c:v>01/29/23</c:v>
                </c:pt>
                <c:pt idx="2">
                  <c:v>02/26/23</c:v>
                </c:pt>
                <c:pt idx="3">
                  <c:v>03/26/23</c:v>
                </c:pt>
                <c:pt idx="4">
                  <c:v>04/23/23</c:v>
                </c:pt>
                <c:pt idx="5">
                  <c:v>05/21/23</c:v>
                </c:pt>
                <c:pt idx="6">
                  <c:v>06/18/23</c:v>
                </c:pt>
                <c:pt idx="7">
                  <c:v>07/16/23</c:v>
                </c:pt>
                <c:pt idx="8">
                  <c:v>08/13/23</c:v>
                </c:pt>
                <c:pt idx="9">
                  <c:v>09/10/23</c:v>
                </c:pt>
                <c:pt idx="10">
                  <c:v>10/08/23</c:v>
                </c:pt>
                <c:pt idx="11">
                  <c:v>11/05/23</c:v>
                </c:pt>
                <c:pt idx="12">
                  <c:v>12/03/23</c:v>
                </c:pt>
                <c:pt idx="13">
                  <c:v>12/31/23</c:v>
                </c:pt>
              </c:strCache>
            </c:strRef>
          </c:cat>
          <c:val>
            <c:numRef>
              <c:f>'Price Сhanges'!$C$128:$C$141</c:f>
              <c:numCache>
                <c:formatCode>General</c:formatCode>
                <c:ptCount val="14"/>
                <c:pt idx="0">
                  <c:v>24040</c:v>
                </c:pt>
                <c:pt idx="1">
                  <c:v>24033</c:v>
                </c:pt>
                <c:pt idx="2">
                  <c:v>25121</c:v>
                </c:pt>
                <c:pt idx="3">
                  <c:v>25302</c:v>
                </c:pt>
                <c:pt idx="4">
                  <c:v>25433</c:v>
                </c:pt>
                <c:pt idx="5">
                  <c:v>25513</c:v>
                </c:pt>
                <c:pt idx="6">
                  <c:v>25554</c:v>
                </c:pt>
                <c:pt idx="7">
                  <c:v>25532</c:v>
                </c:pt>
                <c:pt idx="8">
                  <c:v>26206</c:v>
                </c:pt>
                <c:pt idx="9">
                  <c:v>25444</c:v>
                </c:pt>
                <c:pt idx="10">
                  <c:v>26130</c:v>
                </c:pt>
                <c:pt idx="11">
                  <c:v>25762</c:v>
                </c:pt>
                <c:pt idx="12">
                  <c:v>26096</c:v>
                </c:pt>
                <c:pt idx="13">
                  <c:v>25853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1461912"/>
        <c:axId val="22963209"/>
      </c:lineChart>
      <c:catAx>
        <c:axId val="78710694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8337879"/>
        <c:crossesAt val="0"/>
        <c:auto val="1"/>
        <c:lblAlgn val="ctr"/>
        <c:lblOffset val="100"/>
        <c:noMultiLvlLbl val="0"/>
      </c:catAx>
      <c:valAx>
        <c:axId val="783378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8710694"/>
        <c:crosses val="autoZero"/>
        <c:crossBetween val="midCat"/>
      </c:valAx>
      <c:catAx>
        <c:axId val="8146191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2963209"/>
        <c:auto val="1"/>
        <c:lblAlgn val="ctr"/>
        <c:lblOffset val="100"/>
        <c:noMultiLvlLbl val="0"/>
      </c:catAx>
      <c:valAx>
        <c:axId val="22963209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1461912"/>
        <c:crosses val="max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Product 40 - Price changes vs Sales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'Price Сhanges'!$D$127:$D$127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Сhanges'!$A$128:$A$141</c:f>
              <c:strCache>
                <c:ptCount val="14"/>
                <c:pt idx="0">
                  <c:v>01/01/23</c:v>
                </c:pt>
                <c:pt idx="1">
                  <c:v>01/29/23</c:v>
                </c:pt>
                <c:pt idx="2">
                  <c:v>02/26/23</c:v>
                </c:pt>
                <c:pt idx="3">
                  <c:v>03/26/23</c:v>
                </c:pt>
                <c:pt idx="4">
                  <c:v>04/23/23</c:v>
                </c:pt>
                <c:pt idx="5">
                  <c:v>05/21/23</c:v>
                </c:pt>
                <c:pt idx="6">
                  <c:v>06/18/23</c:v>
                </c:pt>
                <c:pt idx="7">
                  <c:v>07/16/23</c:v>
                </c:pt>
                <c:pt idx="8">
                  <c:v>08/13/23</c:v>
                </c:pt>
                <c:pt idx="9">
                  <c:v>09/10/23</c:v>
                </c:pt>
                <c:pt idx="10">
                  <c:v>10/08/23</c:v>
                </c:pt>
                <c:pt idx="11">
                  <c:v>11/05/23</c:v>
                </c:pt>
                <c:pt idx="12">
                  <c:v>12/03/23</c:v>
                </c:pt>
                <c:pt idx="13">
                  <c:v>12/31/23</c:v>
                </c:pt>
              </c:strCache>
            </c:strRef>
          </c:cat>
          <c:val>
            <c:numRef>
              <c:f>'Price Сhanges'!$D$128:$D$141</c:f>
              <c:numCache>
                <c:formatCode>General</c:formatCode>
                <c:ptCount val="14"/>
                <c:pt idx="0">
                  <c:v>16.98</c:v>
                </c:pt>
                <c:pt idx="1">
                  <c:v>16.98</c:v>
                </c:pt>
                <c:pt idx="2">
                  <c:v>16.98</c:v>
                </c:pt>
                <c:pt idx="3">
                  <c:v>16.98</c:v>
                </c:pt>
                <c:pt idx="4">
                  <c:v>17.86</c:v>
                </c:pt>
                <c:pt idx="5">
                  <c:v>19.96</c:v>
                </c:pt>
                <c:pt idx="6">
                  <c:v>20.02</c:v>
                </c:pt>
                <c:pt idx="7">
                  <c:v>20.02</c:v>
                </c:pt>
                <c:pt idx="8">
                  <c:v>20.02</c:v>
                </c:pt>
                <c:pt idx="9">
                  <c:v>20.02</c:v>
                </c:pt>
                <c:pt idx="10">
                  <c:v>20.02</c:v>
                </c:pt>
                <c:pt idx="11">
                  <c:v>20.02</c:v>
                </c:pt>
                <c:pt idx="12">
                  <c:v>20.02</c:v>
                </c:pt>
                <c:pt idx="13">
                  <c:v>20.02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4112308"/>
        <c:axId val="87076015"/>
      </c:lineChart>
      <c:lineChart>
        <c:grouping val="standard"/>
        <c:varyColors val="0"/>
        <c:ser>
          <c:idx val="1"/>
          <c:order val="1"/>
          <c:tx>
            <c:strRef>
              <c:f>'Price Сhanges'!$B$127:$B$127</c:f>
              <c:strCache>
                <c:ptCount val="1"/>
                <c:pt idx="0">
                  <c:v>Dollars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Сhanges'!$A$128:$A$141</c:f>
              <c:strCache>
                <c:ptCount val="14"/>
                <c:pt idx="0">
                  <c:v>01/01/23</c:v>
                </c:pt>
                <c:pt idx="1">
                  <c:v>01/29/23</c:v>
                </c:pt>
                <c:pt idx="2">
                  <c:v>02/26/23</c:v>
                </c:pt>
                <c:pt idx="3">
                  <c:v>03/26/23</c:v>
                </c:pt>
                <c:pt idx="4">
                  <c:v>04/23/23</c:v>
                </c:pt>
                <c:pt idx="5">
                  <c:v>05/21/23</c:v>
                </c:pt>
                <c:pt idx="6">
                  <c:v>06/18/23</c:v>
                </c:pt>
                <c:pt idx="7">
                  <c:v>07/16/23</c:v>
                </c:pt>
                <c:pt idx="8">
                  <c:v>08/13/23</c:v>
                </c:pt>
                <c:pt idx="9">
                  <c:v>09/10/23</c:v>
                </c:pt>
                <c:pt idx="10">
                  <c:v>10/08/23</c:v>
                </c:pt>
                <c:pt idx="11">
                  <c:v>11/05/23</c:v>
                </c:pt>
                <c:pt idx="12">
                  <c:v>12/03/23</c:v>
                </c:pt>
                <c:pt idx="13">
                  <c:v>12/31/23</c:v>
                </c:pt>
              </c:strCache>
            </c:strRef>
          </c:cat>
          <c:val>
            <c:numRef>
              <c:f>'Price Сhanges'!$B$128:$B$141</c:f>
              <c:numCache>
                <c:formatCode>General</c:formatCode>
                <c:ptCount val="14"/>
                <c:pt idx="0">
                  <c:v>408199.2</c:v>
                </c:pt>
                <c:pt idx="1">
                  <c:v>408080.34</c:v>
                </c:pt>
                <c:pt idx="2">
                  <c:v>426554.58</c:v>
                </c:pt>
                <c:pt idx="3">
                  <c:v>429627.96</c:v>
                </c:pt>
                <c:pt idx="4">
                  <c:v>454233.38</c:v>
                </c:pt>
                <c:pt idx="5">
                  <c:v>509239.48</c:v>
                </c:pt>
                <c:pt idx="6">
                  <c:v>511591.08</c:v>
                </c:pt>
                <c:pt idx="7">
                  <c:v>511150.64</c:v>
                </c:pt>
                <c:pt idx="8">
                  <c:v>524644.12</c:v>
                </c:pt>
                <c:pt idx="9">
                  <c:v>509388.88</c:v>
                </c:pt>
                <c:pt idx="10">
                  <c:v>523122.6</c:v>
                </c:pt>
                <c:pt idx="11">
                  <c:v>515755.24</c:v>
                </c:pt>
                <c:pt idx="12">
                  <c:v>522441.92</c:v>
                </c:pt>
                <c:pt idx="13">
                  <c:v>517577.06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2303044"/>
        <c:axId val="21510762"/>
      </c:lineChart>
      <c:catAx>
        <c:axId val="84112308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7076015"/>
        <c:crossesAt val="0"/>
        <c:auto val="1"/>
        <c:lblAlgn val="ctr"/>
        <c:lblOffset val="100"/>
        <c:noMultiLvlLbl val="0"/>
      </c:catAx>
      <c:valAx>
        <c:axId val="870760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4112308"/>
        <c:crosses val="autoZero"/>
        <c:crossBetween val="midCat"/>
      </c:valAx>
      <c:catAx>
        <c:axId val="5230304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1510762"/>
        <c:auto val="1"/>
        <c:lblAlgn val="ctr"/>
        <c:lblOffset val="100"/>
        <c:noMultiLvlLbl val="0"/>
      </c:catAx>
      <c:valAx>
        <c:axId val="21510762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2303044"/>
        <c:crosses val="max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Product 38 - Price changes vs Sales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'Price Сhanges'!$D$86:$D$86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Сhanges'!$A$87:$A$100</c:f>
              <c:strCache>
                <c:ptCount val="14"/>
                <c:pt idx="0">
                  <c:v>01/01/23</c:v>
                </c:pt>
                <c:pt idx="1">
                  <c:v>01/29/23</c:v>
                </c:pt>
                <c:pt idx="2">
                  <c:v>02/26/23</c:v>
                </c:pt>
                <c:pt idx="3">
                  <c:v>03/26/23</c:v>
                </c:pt>
                <c:pt idx="4">
                  <c:v>04/23/23</c:v>
                </c:pt>
                <c:pt idx="5">
                  <c:v>05/21/23</c:v>
                </c:pt>
                <c:pt idx="6">
                  <c:v>06/18/23</c:v>
                </c:pt>
                <c:pt idx="7">
                  <c:v>07/16/23</c:v>
                </c:pt>
                <c:pt idx="8">
                  <c:v>08/13/23</c:v>
                </c:pt>
                <c:pt idx="9">
                  <c:v>09/10/23</c:v>
                </c:pt>
                <c:pt idx="10">
                  <c:v>10/08/23</c:v>
                </c:pt>
                <c:pt idx="11">
                  <c:v>11/05/23</c:v>
                </c:pt>
                <c:pt idx="12">
                  <c:v>12/03/23</c:v>
                </c:pt>
                <c:pt idx="13">
                  <c:v>12/31/23</c:v>
                </c:pt>
              </c:strCache>
            </c:strRef>
          </c:cat>
          <c:val>
            <c:numRef>
              <c:f>'Price Сhanges'!$D$87:$D$100</c:f>
              <c:numCache>
                <c:formatCode>General</c:formatCode>
                <c:ptCount val="14"/>
                <c:pt idx="0">
                  <c:v>16.99</c:v>
                </c:pt>
                <c:pt idx="1">
                  <c:v>16.99</c:v>
                </c:pt>
                <c:pt idx="2">
                  <c:v>16.99</c:v>
                </c:pt>
                <c:pt idx="3">
                  <c:v>16.99</c:v>
                </c:pt>
                <c:pt idx="4">
                  <c:v>16.99</c:v>
                </c:pt>
                <c:pt idx="5">
                  <c:v>17.85</c:v>
                </c:pt>
                <c:pt idx="6">
                  <c:v>19.5</c:v>
                </c:pt>
                <c:pt idx="7">
                  <c:v>19.98</c:v>
                </c:pt>
                <c:pt idx="8">
                  <c:v>19.98</c:v>
                </c:pt>
                <c:pt idx="9">
                  <c:v>19.97</c:v>
                </c:pt>
                <c:pt idx="10">
                  <c:v>19.99</c:v>
                </c:pt>
                <c:pt idx="11">
                  <c:v>19.99</c:v>
                </c:pt>
                <c:pt idx="12">
                  <c:v>19.99</c:v>
                </c:pt>
                <c:pt idx="13">
                  <c:v>19.98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6147606"/>
        <c:axId val="33275728"/>
      </c:lineChart>
      <c:lineChart>
        <c:grouping val="standard"/>
        <c:varyColors val="0"/>
        <c:ser>
          <c:idx val="1"/>
          <c:order val="1"/>
          <c:tx>
            <c:strRef>
              <c:f>'Price Сhanges'!$C$86:$C$86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Сhanges'!$A$87:$A$100</c:f>
              <c:strCache>
                <c:ptCount val="14"/>
                <c:pt idx="0">
                  <c:v>01/01/23</c:v>
                </c:pt>
                <c:pt idx="1">
                  <c:v>01/29/23</c:v>
                </c:pt>
                <c:pt idx="2">
                  <c:v>02/26/23</c:v>
                </c:pt>
                <c:pt idx="3">
                  <c:v>03/26/23</c:v>
                </c:pt>
                <c:pt idx="4">
                  <c:v>04/23/23</c:v>
                </c:pt>
                <c:pt idx="5">
                  <c:v>05/21/23</c:v>
                </c:pt>
                <c:pt idx="6">
                  <c:v>06/18/23</c:v>
                </c:pt>
                <c:pt idx="7">
                  <c:v>07/16/23</c:v>
                </c:pt>
                <c:pt idx="8">
                  <c:v>08/13/23</c:v>
                </c:pt>
                <c:pt idx="9">
                  <c:v>09/10/23</c:v>
                </c:pt>
                <c:pt idx="10">
                  <c:v>10/08/23</c:v>
                </c:pt>
                <c:pt idx="11">
                  <c:v>11/05/23</c:v>
                </c:pt>
                <c:pt idx="12">
                  <c:v>12/03/23</c:v>
                </c:pt>
                <c:pt idx="13">
                  <c:v>12/31/23</c:v>
                </c:pt>
              </c:strCache>
            </c:strRef>
          </c:cat>
          <c:val>
            <c:numRef>
              <c:f>'Price Сhanges'!$C$87:$C$100</c:f>
              <c:numCache>
                <c:formatCode>General</c:formatCode>
                <c:ptCount val="14"/>
                <c:pt idx="0">
                  <c:v>14422</c:v>
                </c:pt>
                <c:pt idx="1">
                  <c:v>14468</c:v>
                </c:pt>
                <c:pt idx="2">
                  <c:v>13572</c:v>
                </c:pt>
                <c:pt idx="3">
                  <c:v>11676</c:v>
                </c:pt>
                <c:pt idx="4">
                  <c:v>11352</c:v>
                </c:pt>
                <c:pt idx="5">
                  <c:v>11255</c:v>
                </c:pt>
                <c:pt idx="6">
                  <c:v>12268</c:v>
                </c:pt>
                <c:pt idx="7">
                  <c:v>12359</c:v>
                </c:pt>
                <c:pt idx="8">
                  <c:v>12638</c:v>
                </c:pt>
                <c:pt idx="9">
                  <c:v>12651</c:v>
                </c:pt>
                <c:pt idx="10">
                  <c:v>12495</c:v>
                </c:pt>
                <c:pt idx="11">
                  <c:v>12249</c:v>
                </c:pt>
                <c:pt idx="12">
                  <c:v>12277</c:v>
                </c:pt>
                <c:pt idx="13">
                  <c:v>12400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6897947"/>
        <c:axId val="80429346"/>
      </c:lineChart>
      <c:catAx>
        <c:axId val="56147606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 rot="-1800000"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3275728"/>
        <c:crossesAt val="0"/>
        <c:auto val="1"/>
        <c:lblAlgn val="ctr"/>
        <c:lblOffset val="100"/>
        <c:noMultiLvlLbl val="0"/>
      </c:catAx>
      <c:valAx>
        <c:axId val="332757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6147606"/>
        <c:crosses val="autoZero"/>
        <c:crossBetween val="midCat"/>
      </c:valAx>
      <c:catAx>
        <c:axId val="4689794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0429346"/>
        <c:auto val="1"/>
        <c:lblAlgn val="ctr"/>
        <c:lblOffset val="100"/>
        <c:noMultiLvlLbl val="0"/>
      </c:catAx>
      <c:valAx>
        <c:axId val="80429346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6897947"/>
        <c:crosses val="max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Product 38 - Price changes vs Sales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'Price Сhanges'!$D$86:$D$86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Сhanges'!$A$87:$A$100</c:f>
              <c:strCache>
                <c:ptCount val="14"/>
                <c:pt idx="0">
                  <c:v>01/01/23</c:v>
                </c:pt>
                <c:pt idx="1">
                  <c:v>01/29/23</c:v>
                </c:pt>
                <c:pt idx="2">
                  <c:v>02/26/23</c:v>
                </c:pt>
                <c:pt idx="3">
                  <c:v>03/26/23</c:v>
                </c:pt>
                <c:pt idx="4">
                  <c:v>04/23/23</c:v>
                </c:pt>
                <c:pt idx="5">
                  <c:v>05/21/23</c:v>
                </c:pt>
                <c:pt idx="6">
                  <c:v>06/18/23</c:v>
                </c:pt>
                <c:pt idx="7">
                  <c:v>07/16/23</c:v>
                </c:pt>
                <c:pt idx="8">
                  <c:v>08/13/23</c:v>
                </c:pt>
                <c:pt idx="9">
                  <c:v>09/10/23</c:v>
                </c:pt>
                <c:pt idx="10">
                  <c:v>10/08/23</c:v>
                </c:pt>
                <c:pt idx="11">
                  <c:v>11/05/23</c:v>
                </c:pt>
                <c:pt idx="12">
                  <c:v>12/03/23</c:v>
                </c:pt>
                <c:pt idx="13">
                  <c:v>12/31/23</c:v>
                </c:pt>
              </c:strCache>
            </c:strRef>
          </c:cat>
          <c:val>
            <c:numRef>
              <c:f>'Price Сhanges'!$D$87:$D$100</c:f>
              <c:numCache>
                <c:formatCode>General</c:formatCode>
                <c:ptCount val="14"/>
                <c:pt idx="0">
                  <c:v>16.99</c:v>
                </c:pt>
                <c:pt idx="1">
                  <c:v>16.99</c:v>
                </c:pt>
                <c:pt idx="2">
                  <c:v>16.99</c:v>
                </c:pt>
                <c:pt idx="3">
                  <c:v>16.99</c:v>
                </c:pt>
                <c:pt idx="4">
                  <c:v>16.99</c:v>
                </c:pt>
                <c:pt idx="5">
                  <c:v>17.85</c:v>
                </c:pt>
                <c:pt idx="6">
                  <c:v>19.5</c:v>
                </c:pt>
                <c:pt idx="7">
                  <c:v>19.98</c:v>
                </c:pt>
                <c:pt idx="8">
                  <c:v>19.98</c:v>
                </c:pt>
                <c:pt idx="9">
                  <c:v>19.97</c:v>
                </c:pt>
                <c:pt idx="10">
                  <c:v>19.99</c:v>
                </c:pt>
                <c:pt idx="11">
                  <c:v>19.99</c:v>
                </c:pt>
                <c:pt idx="12">
                  <c:v>19.99</c:v>
                </c:pt>
                <c:pt idx="13">
                  <c:v>19.98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8622655"/>
        <c:axId val="6284335"/>
      </c:lineChart>
      <c:lineChart>
        <c:grouping val="standard"/>
        <c:varyColors val="0"/>
        <c:ser>
          <c:idx val="1"/>
          <c:order val="1"/>
          <c:tx>
            <c:strRef>
              <c:f>'Price Сhanges'!$B$86:$B$86</c:f>
              <c:strCache>
                <c:ptCount val="1"/>
                <c:pt idx="0">
                  <c:v>Dollars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Сhanges'!$A$87:$A$100</c:f>
              <c:strCache>
                <c:ptCount val="14"/>
                <c:pt idx="0">
                  <c:v>01/01/23</c:v>
                </c:pt>
                <c:pt idx="1">
                  <c:v>01/29/23</c:v>
                </c:pt>
                <c:pt idx="2">
                  <c:v>02/26/23</c:v>
                </c:pt>
                <c:pt idx="3">
                  <c:v>03/26/23</c:v>
                </c:pt>
                <c:pt idx="4">
                  <c:v>04/23/23</c:v>
                </c:pt>
                <c:pt idx="5">
                  <c:v>05/21/23</c:v>
                </c:pt>
                <c:pt idx="6">
                  <c:v>06/18/23</c:v>
                </c:pt>
                <c:pt idx="7">
                  <c:v>07/16/23</c:v>
                </c:pt>
                <c:pt idx="8">
                  <c:v>08/13/23</c:v>
                </c:pt>
                <c:pt idx="9">
                  <c:v>09/10/23</c:v>
                </c:pt>
                <c:pt idx="10">
                  <c:v>10/08/23</c:v>
                </c:pt>
                <c:pt idx="11">
                  <c:v>11/05/23</c:v>
                </c:pt>
                <c:pt idx="12">
                  <c:v>12/03/23</c:v>
                </c:pt>
                <c:pt idx="13">
                  <c:v>12/31/23</c:v>
                </c:pt>
              </c:strCache>
            </c:strRef>
          </c:cat>
          <c:val>
            <c:numRef>
              <c:f>'Price Сhanges'!$B$87:$B$100</c:f>
              <c:numCache>
                <c:formatCode>General</c:formatCode>
                <c:ptCount val="14"/>
                <c:pt idx="0">
                  <c:v>245029.78</c:v>
                </c:pt>
                <c:pt idx="1">
                  <c:v>245811.32</c:v>
                </c:pt>
                <c:pt idx="2">
                  <c:v>230588.28</c:v>
                </c:pt>
                <c:pt idx="3">
                  <c:v>198375.24</c:v>
                </c:pt>
                <c:pt idx="4">
                  <c:v>192870.48</c:v>
                </c:pt>
                <c:pt idx="5">
                  <c:v>200901.75</c:v>
                </c:pt>
                <c:pt idx="6">
                  <c:v>239226</c:v>
                </c:pt>
                <c:pt idx="7">
                  <c:v>246932.82</c:v>
                </c:pt>
                <c:pt idx="8">
                  <c:v>252507.24</c:v>
                </c:pt>
                <c:pt idx="9">
                  <c:v>252640.47</c:v>
                </c:pt>
                <c:pt idx="10">
                  <c:v>249775.05</c:v>
                </c:pt>
                <c:pt idx="11">
                  <c:v>244857.51</c:v>
                </c:pt>
                <c:pt idx="12">
                  <c:v>245417.23</c:v>
                </c:pt>
                <c:pt idx="13">
                  <c:v>247752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086392"/>
        <c:axId val="65288093"/>
      </c:lineChart>
      <c:catAx>
        <c:axId val="58622655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284335"/>
        <c:crossesAt val="0"/>
        <c:auto val="1"/>
        <c:lblAlgn val="ctr"/>
        <c:lblOffset val="100"/>
        <c:noMultiLvlLbl val="0"/>
      </c:catAx>
      <c:valAx>
        <c:axId val="628433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8622655"/>
        <c:crosses val="autoZero"/>
        <c:crossBetween val="midCat"/>
      </c:valAx>
      <c:catAx>
        <c:axId val="2508639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5288093"/>
        <c:auto val="1"/>
        <c:lblAlgn val="ctr"/>
        <c:lblOffset val="100"/>
        <c:noMultiLvlLbl val="0"/>
      </c:catAx>
      <c:valAx>
        <c:axId val="65288093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5086392"/>
        <c:crosses val="max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Product 37 - Price changes vs Sales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'Price Сhanges'!$D$45:$D$45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Сhanges'!$A$46:$A$59</c:f>
              <c:strCache>
                <c:ptCount val="14"/>
                <c:pt idx="0">
                  <c:v>01/01/23</c:v>
                </c:pt>
                <c:pt idx="1">
                  <c:v>01/29/23</c:v>
                </c:pt>
                <c:pt idx="2">
                  <c:v>02/26/23</c:v>
                </c:pt>
                <c:pt idx="3">
                  <c:v>03/26/23</c:v>
                </c:pt>
                <c:pt idx="4">
                  <c:v>04/23/23</c:v>
                </c:pt>
                <c:pt idx="5">
                  <c:v>05/21/23</c:v>
                </c:pt>
                <c:pt idx="6">
                  <c:v>06/18/23</c:v>
                </c:pt>
                <c:pt idx="7">
                  <c:v>07/16/23</c:v>
                </c:pt>
                <c:pt idx="8">
                  <c:v>08/13/23</c:v>
                </c:pt>
                <c:pt idx="9">
                  <c:v>09/10/23</c:v>
                </c:pt>
                <c:pt idx="10">
                  <c:v>10/08/23</c:v>
                </c:pt>
                <c:pt idx="11">
                  <c:v>11/05/23</c:v>
                </c:pt>
                <c:pt idx="12">
                  <c:v>12/03/23</c:v>
                </c:pt>
                <c:pt idx="13">
                  <c:v>12/31/23</c:v>
                </c:pt>
              </c:strCache>
            </c:strRef>
          </c:cat>
          <c:val>
            <c:numRef>
              <c:f>'Price Сhanges'!$D$46:$D$59</c:f>
              <c:numCache>
                <c:formatCode>General</c:formatCode>
                <c:ptCount val="14"/>
                <c:pt idx="0">
                  <c:v>15.97</c:v>
                </c:pt>
                <c:pt idx="1">
                  <c:v>15.96</c:v>
                </c:pt>
                <c:pt idx="2">
                  <c:v>15.93</c:v>
                </c:pt>
                <c:pt idx="3">
                  <c:v>15.94</c:v>
                </c:pt>
                <c:pt idx="4">
                  <c:v>15.97</c:v>
                </c:pt>
                <c:pt idx="5">
                  <c:v>15.84</c:v>
                </c:pt>
                <c:pt idx="6">
                  <c:v>15.25</c:v>
                </c:pt>
                <c:pt idx="7">
                  <c:v>15.25</c:v>
                </c:pt>
                <c:pt idx="8">
                  <c:v>15.25</c:v>
                </c:pt>
                <c:pt idx="9">
                  <c:v>15.35</c:v>
                </c:pt>
                <c:pt idx="10">
                  <c:v>15.35</c:v>
                </c:pt>
                <c:pt idx="11">
                  <c:v>15.25</c:v>
                </c:pt>
                <c:pt idx="12">
                  <c:v>15.35</c:v>
                </c:pt>
                <c:pt idx="13">
                  <c:v>15.8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678294"/>
        <c:axId val="59297974"/>
      </c:lineChart>
      <c:lineChart>
        <c:grouping val="standard"/>
        <c:varyColors val="0"/>
        <c:ser>
          <c:idx val="1"/>
          <c:order val="1"/>
          <c:tx>
            <c:strRef>
              <c:f>'Price Сhanges'!$C$45:$C$45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Сhanges'!$A$46:$A$59</c:f>
              <c:strCache>
                <c:ptCount val="14"/>
                <c:pt idx="0">
                  <c:v>01/01/23</c:v>
                </c:pt>
                <c:pt idx="1">
                  <c:v>01/29/23</c:v>
                </c:pt>
                <c:pt idx="2">
                  <c:v>02/26/23</c:v>
                </c:pt>
                <c:pt idx="3">
                  <c:v>03/26/23</c:v>
                </c:pt>
                <c:pt idx="4">
                  <c:v>04/23/23</c:v>
                </c:pt>
                <c:pt idx="5">
                  <c:v>05/21/23</c:v>
                </c:pt>
                <c:pt idx="6">
                  <c:v>06/18/23</c:v>
                </c:pt>
                <c:pt idx="7">
                  <c:v>07/16/23</c:v>
                </c:pt>
                <c:pt idx="8">
                  <c:v>08/13/23</c:v>
                </c:pt>
                <c:pt idx="9">
                  <c:v>09/10/23</c:v>
                </c:pt>
                <c:pt idx="10">
                  <c:v>10/08/23</c:v>
                </c:pt>
                <c:pt idx="11">
                  <c:v>11/05/23</c:v>
                </c:pt>
                <c:pt idx="12">
                  <c:v>12/03/23</c:v>
                </c:pt>
                <c:pt idx="13">
                  <c:v>12/31/23</c:v>
                </c:pt>
              </c:strCache>
            </c:strRef>
          </c:cat>
          <c:val>
            <c:numRef>
              <c:f>'Price Сhanges'!$C$46:$C$59</c:f>
              <c:numCache>
                <c:formatCode>General</c:formatCode>
                <c:ptCount val="14"/>
                <c:pt idx="0">
                  <c:v>2989</c:v>
                </c:pt>
                <c:pt idx="1">
                  <c:v>3439</c:v>
                </c:pt>
                <c:pt idx="2">
                  <c:v>3182</c:v>
                </c:pt>
                <c:pt idx="3">
                  <c:v>3399</c:v>
                </c:pt>
                <c:pt idx="4">
                  <c:v>2957</c:v>
                </c:pt>
                <c:pt idx="5">
                  <c:v>3039</c:v>
                </c:pt>
                <c:pt idx="6">
                  <c:v>3928</c:v>
                </c:pt>
                <c:pt idx="7">
                  <c:v>3697</c:v>
                </c:pt>
                <c:pt idx="8">
                  <c:v>2383</c:v>
                </c:pt>
                <c:pt idx="9">
                  <c:v>1733</c:v>
                </c:pt>
                <c:pt idx="10">
                  <c:v>1421</c:v>
                </c:pt>
                <c:pt idx="11">
                  <c:v>1181</c:v>
                </c:pt>
                <c:pt idx="12">
                  <c:v>1073</c:v>
                </c:pt>
                <c:pt idx="13">
                  <c:v>944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4837713"/>
        <c:axId val="49144064"/>
      </c:lineChart>
      <c:catAx>
        <c:axId val="5678294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 rot="-1800000"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9297974"/>
        <c:crossesAt val="0"/>
        <c:auto val="1"/>
        <c:lblAlgn val="ctr"/>
        <c:lblOffset val="100"/>
        <c:noMultiLvlLbl val="0"/>
      </c:catAx>
      <c:valAx>
        <c:axId val="592979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678294"/>
        <c:crosses val="autoZero"/>
        <c:crossBetween val="midCat"/>
      </c:valAx>
      <c:catAx>
        <c:axId val="5483771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9144064"/>
        <c:auto val="1"/>
        <c:lblAlgn val="ctr"/>
        <c:lblOffset val="100"/>
        <c:noMultiLvlLbl val="0"/>
      </c:catAx>
      <c:valAx>
        <c:axId val="49144064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4837713"/>
        <c:crosses val="max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Product 37 - Price changes vs Sales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'Price Сhanges'!$D$45:$D$45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Сhanges'!$A$46:$A$59</c:f>
              <c:strCache>
                <c:ptCount val="14"/>
                <c:pt idx="0">
                  <c:v>01/01/23</c:v>
                </c:pt>
                <c:pt idx="1">
                  <c:v>01/29/23</c:v>
                </c:pt>
                <c:pt idx="2">
                  <c:v>02/26/23</c:v>
                </c:pt>
                <c:pt idx="3">
                  <c:v>03/26/23</c:v>
                </c:pt>
                <c:pt idx="4">
                  <c:v>04/23/23</c:v>
                </c:pt>
                <c:pt idx="5">
                  <c:v>05/21/23</c:v>
                </c:pt>
                <c:pt idx="6">
                  <c:v>06/18/23</c:v>
                </c:pt>
                <c:pt idx="7">
                  <c:v>07/16/23</c:v>
                </c:pt>
                <c:pt idx="8">
                  <c:v>08/13/23</c:v>
                </c:pt>
                <c:pt idx="9">
                  <c:v>09/10/23</c:v>
                </c:pt>
                <c:pt idx="10">
                  <c:v>10/08/23</c:v>
                </c:pt>
                <c:pt idx="11">
                  <c:v>11/05/23</c:v>
                </c:pt>
                <c:pt idx="12">
                  <c:v>12/03/23</c:v>
                </c:pt>
                <c:pt idx="13">
                  <c:v>12/31/23</c:v>
                </c:pt>
              </c:strCache>
            </c:strRef>
          </c:cat>
          <c:val>
            <c:numRef>
              <c:f>'Price Сhanges'!$D$46:$D$59</c:f>
              <c:numCache>
                <c:formatCode>General</c:formatCode>
                <c:ptCount val="14"/>
                <c:pt idx="0">
                  <c:v>15.97</c:v>
                </c:pt>
                <c:pt idx="1">
                  <c:v>15.96</c:v>
                </c:pt>
                <c:pt idx="2">
                  <c:v>15.93</c:v>
                </c:pt>
                <c:pt idx="3">
                  <c:v>15.94</c:v>
                </c:pt>
                <c:pt idx="4">
                  <c:v>15.97</c:v>
                </c:pt>
                <c:pt idx="5">
                  <c:v>15.84</c:v>
                </c:pt>
                <c:pt idx="6">
                  <c:v>15.25</c:v>
                </c:pt>
                <c:pt idx="7">
                  <c:v>15.25</c:v>
                </c:pt>
                <c:pt idx="8">
                  <c:v>15.25</c:v>
                </c:pt>
                <c:pt idx="9">
                  <c:v>15.35</c:v>
                </c:pt>
                <c:pt idx="10">
                  <c:v>15.35</c:v>
                </c:pt>
                <c:pt idx="11">
                  <c:v>15.25</c:v>
                </c:pt>
                <c:pt idx="12">
                  <c:v>15.35</c:v>
                </c:pt>
                <c:pt idx="13">
                  <c:v>15.8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7343647"/>
        <c:axId val="97342791"/>
      </c:lineChart>
      <c:lineChart>
        <c:grouping val="standard"/>
        <c:varyColors val="0"/>
        <c:ser>
          <c:idx val="1"/>
          <c:order val="1"/>
          <c:tx>
            <c:strRef>
              <c:f>'Price Сhanges'!$B$45:$B$45</c:f>
              <c:strCache>
                <c:ptCount val="1"/>
                <c:pt idx="0">
                  <c:v>Dollars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Сhanges'!$A$46:$A$59</c:f>
              <c:strCache>
                <c:ptCount val="14"/>
                <c:pt idx="0">
                  <c:v>01/01/23</c:v>
                </c:pt>
                <c:pt idx="1">
                  <c:v>01/29/23</c:v>
                </c:pt>
                <c:pt idx="2">
                  <c:v>02/26/23</c:v>
                </c:pt>
                <c:pt idx="3">
                  <c:v>03/26/23</c:v>
                </c:pt>
                <c:pt idx="4">
                  <c:v>04/23/23</c:v>
                </c:pt>
                <c:pt idx="5">
                  <c:v>05/21/23</c:v>
                </c:pt>
                <c:pt idx="6">
                  <c:v>06/18/23</c:v>
                </c:pt>
                <c:pt idx="7">
                  <c:v>07/16/23</c:v>
                </c:pt>
                <c:pt idx="8">
                  <c:v>08/13/23</c:v>
                </c:pt>
                <c:pt idx="9">
                  <c:v>09/10/23</c:v>
                </c:pt>
                <c:pt idx="10">
                  <c:v>10/08/23</c:v>
                </c:pt>
                <c:pt idx="11">
                  <c:v>11/05/23</c:v>
                </c:pt>
                <c:pt idx="12">
                  <c:v>12/03/23</c:v>
                </c:pt>
                <c:pt idx="13">
                  <c:v>12/31/23</c:v>
                </c:pt>
              </c:strCache>
            </c:strRef>
          </c:cat>
          <c:val>
            <c:numRef>
              <c:f>'Price Сhanges'!$B$46:$B$59</c:f>
              <c:numCache>
                <c:formatCode>General</c:formatCode>
                <c:ptCount val="14"/>
                <c:pt idx="0">
                  <c:v>47734.33</c:v>
                </c:pt>
                <c:pt idx="1">
                  <c:v>54886.44</c:v>
                </c:pt>
                <c:pt idx="2">
                  <c:v>50689.26</c:v>
                </c:pt>
                <c:pt idx="3">
                  <c:v>54180.06</c:v>
                </c:pt>
                <c:pt idx="4">
                  <c:v>47223.29</c:v>
                </c:pt>
                <c:pt idx="5">
                  <c:v>48137.76</c:v>
                </c:pt>
                <c:pt idx="6">
                  <c:v>59902</c:v>
                </c:pt>
                <c:pt idx="7">
                  <c:v>56379.25</c:v>
                </c:pt>
                <c:pt idx="8">
                  <c:v>36340.75</c:v>
                </c:pt>
                <c:pt idx="9">
                  <c:v>26601.55</c:v>
                </c:pt>
                <c:pt idx="10">
                  <c:v>21812.35</c:v>
                </c:pt>
                <c:pt idx="11">
                  <c:v>18010.25</c:v>
                </c:pt>
                <c:pt idx="12">
                  <c:v>16470.55</c:v>
                </c:pt>
                <c:pt idx="13">
                  <c:v>14915.2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8776259"/>
        <c:axId val="21408775"/>
      </c:lineChart>
      <c:catAx>
        <c:axId val="17343647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7342791"/>
        <c:crossesAt val="0"/>
        <c:auto val="1"/>
        <c:lblAlgn val="ctr"/>
        <c:lblOffset val="100"/>
        <c:noMultiLvlLbl val="0"/>
      </c:catAx>
      <c:valAx>
        <c:axId val="973427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7343647"/>
        <c:crosses val="autoZero"/>
        <c:crossBetween val="midCat"/>
      </c:valAx>
      <c:catAx>
        <c:axId val="9877625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1408775"/>
        <c:auto val="1"/>
        <c:lblAlgn val="ctr"/>
        <c:lblOffset val="100"/>
        <c:noMultiLvlLbl val="0"/>
      </c:catAx>
      <c:valAx>
        <c:axId val="21408775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8776259"/>
        <c:crosses val="max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Product 24 - Price changes vs Sales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'Price Сhanges'!$D$5:$D$5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Сhanges'!$A$6:$A$19</c:f>
              <c:strCache>
                <c:ptCount val="14"/>
                <c:pt idx="0">
                  <c:v>01/01/23</c:v>
                </c:pt>
                <c:pt idx="1">
                  <c:v>01/29/23</c:v>
                </c:pt>
                <c:pt idx="2">
                  <c:v>02/26/23</c:v>
                </c:pt>
                <c:pt idx="3">
                  <c:v>03/26/23</c:v>
                </c:pt>
                <c:pt idx="4">
                  <c:v>04/23/23</c:v>
                </c:pt>
                <c:pt idx="5">
                  <c:v>05/21/23</c:v>
                </c:pt>
                <c:pt idx="6">
                  <c:v>06/18/23</c:v>
                </c:pt>
                <c:pt idx="7">
                  <c:v>07/16/23</c:v>
                </c:pt>
                <c:pt idx="8">
                  <c:v>08/13/23</c:v>
                </c:pt>
                <c:pt idx="9">
                  <c:v>09/10/23</c:v>
                </c:pt>
                <c:pt idx="10">
                  <c:v>10/08/23</c:v>
                </c:pt>
                <c:pt idx="11">
                  <c:v>11/05/23</c:v>
                </c:pt>
                <c:pt idx="12">
                  <c:v>12/03/23</c:v>
                </c:pt>
                <c:pt idx="13">
                  <c:v>12/31/23</c:v>
                </c:pt>
              </c:strCache>
            </c:strRef>
          </c:cat>
          <c:val>
            <c:numRef>
              <c:f>'Price Сhanges'!$D$6:$D$19</c:f>
              <c:numCache>
                <c:formatCode>General</c:formatCode>
                <c:ptCount val="14"/>
                <c:pt idx="0">
                  <c:v>27.62</c:v>
                </c:pt>
                <c:pt idx="1">
                  <c:v>27.64</c:v>
                </c:pt>
                <c:pt idx="2">
                  <c:v>27.6</c:v>
                </c:pt>
                <c:pt idx="3">
                  <c:v>27.7</c:v>
                </c:pt>
                <c:pt idx="4">
                  <c:v>27.9</c:v>
                </c:pt>
                <c:pt idx="5">
                  <c:v>28.5</c:v>
                </c:pt>
                <c:pt idx="6">
                  <c:v>29.5</c:v>
                </c:pt>
                <c:pt idx="7">
                  <c:v>29.8</c:v>
                </c:pt>
                <c:pt idx="8">
                  <c:v>29.96</c:v>
                </c:pt>
                <c:pt idx="9">
                  <c:v>29.99</c:v>
                </c:pt>
                <c:pt idx="10">
                  <c:v>29.97</c:v>
                </c:pt>
                <c:pt idx="11">
                  <c:v>29.95</c:v>
                </c:pt>
                <c:pt idx="12">
                  <c:v>29.96</c:v>
                </c:pt>
                <c:pt idx="13">
                  <c:v>29.96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9533544"/>
        <c:axId val="27311857"/>
      </c:lineChart>
      <c:lineChart>
        <c:grouping val="standard"/>
        <c:varyColors val="0"/>
        <c:ser>
          <c:idx val="1"/>
          <c:order val="1"/>
          <c:tx>
            <c:strRef>
              <c:f>'Price Сhanges'!$C$5:$C$5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Сhanges'!$A$6:$A$19</c:f>
              <c:strCache>
                <c:ptCount val="14"/>
                <c:pt idx="0">
                  <c:v>01/01/23</c:v>
                </c:pt>
                <c:pt idx="1">
                  <c:v>01/29/23</c:v>
                </c:pt>
                <c:pt idx="2">
                  <c:v>02/26/23</c:v>
                </c:pt>
                <c:pt idx="3">
                  <c:v>03/26/23</c:v>
                </c:pt>
                <c:pt idx="4">
                  <c:v>04/23/23</c:v>
                </c:pt>
                <c:pt idx="5">
                  <c:v>05/21/23</c:v>
                </c:pt>
                <c:pt idx="6">
                  <c:v>06/18/23</c:v>
                </c:pt>
                <c:pt idx="7">
                  <c:v>07/16/23</c:v>
                </c:pt>
                <c:pt idx="8">
                  <c:v>08/13/23</c:v>
                </c:pt>
                <c:pt idx="9">
                  <c:v>09/10/23</c:v>
                </c:pt>
                <c:pt idx="10">
                  <c:v>10/08/23</c:v>
                </c:pt>
                <c:pt idx="11">
                  <c:v>11/05/23</c:v>
                </c:pt>
                <c:pt idx="12">
                  <c:v>12/03/23</c:v>
                </c:pt>
                <c:pt idx="13">
                  <c:v>12/31/23</c:v>
                </c:pt>
              </c:strCache>
            </c:strRef>
          </c:cat>
          <c:val>
            <c:numRef>
              <c:f>'Price Сhanges'!$C$6:$C$19</c:f>
              <c:numCache>
                <c:formatCode>General</c:formatCode>
                <c:ptCount val="14"/>
                <c:pt idx="0">
                  <c:v>24735</c:v>
                </c:pt>
                <c:pt idx="1">
                  <c:v>27658</c:v>
                </c:pt>
                <c:pt idx="2">
                  <c:v>28704</c:v>
                </c:pt>
                <c:pt idx="3">
                  <c:v>28719</c:v>
                </c:pt>
                <c:pt idx="4">
                  <c:v>27292</c:v>
                </c:pt>
                <c:pt idx="5">
                  <c:v>27109</c:v>
                </c:pt>
                <c:pt idx="6">
                  <c:v>27068</c:v>
                </c:pt>
                <c:pt idx="7">
                  <c:v>18724</c:v>
                </c:pt>
                <c:pt idx="8">
                  <c:v>16743</c:v>
                </c:pt>
                <c:pt idx="9">
                  <c:v>11908</c:v>
                </c:pt>
                <c:pt idx="10">
                  <c:v>13519</c:v>
                </c:pt>
                <c:pt idx="11">
                  <c:v>14130</c:v>
                </c:pt>
                <c:pt idx="12">
                  <c:v>8029</c:v>
                </c:pt>
                <c:pt idx="13">
                  <c:v>4413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1641430"/>
        <c:axId val="15895604"/>
      </c:lineChart>
      <c:catAx>
        <c:axId val="79533544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7311857"/>
        <c:crossesAt val="0"/>
        <c:auto val="1"/>
        <c:lblAlgn val="ctr"/>
        <c:lblOffset val="100"/>
        <c:noMultiLvlLbl val="0"/>
      </c:catAx>
      <c:valAx>
        <c:axId val="273118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9533544"/>
        <c:crosses val="autoZero"/>
        <c:crossBetween val="midCat"/>
      </c:valAx>
      <c:catAx>
        <c:axId val="4164143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5895604"/>
        <c:auto val="1"/>
        <c:lblAlgn val="ctr"/>
        <c:lblOffset val="100"/>
        <c:noMultiLvlLbl val="0"/>
      </c:catAx>
      <c:valAx>
        <c:axId val="15895604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1641430"/>
        <c:crosses val="max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Product 24 - Price changes vs Sales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'Price Сhanges'!$D$5:$D$5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Сhanges'!$A$6:$A$19</c:f>
              <c:strCache>
                <c:ptCount val="14"/>
                <c:pt idx="0">
                  <c:v>01/01/23</c:v>
                </c:pt>
                <c:pt idx="1">
                  <c:v>01/29/23</c:v>
                </c:pt>
                <c:pt idx="2">
                  <c:v>02/26/23</c:v>
                </c:pt>
                <c:pt idx="3">
                  <c:v>03/26/23</c:v>
                </c:pt>
                <c:pt idx="4">
                  <c:v>04/23/23</c:v>
                </c:pt>
                <c:pt idx="5">
                  <c:v>05/21/23</c:v>
                </c:pt>
                <c:pt idx="6">
                  <c:v>06/18/23</c:v>
                </c:pt>
                <c:pt idx="7">
                  <c:v>07/16/23</c:v>
                </c:pt>
                <c:pt idx="8">
                  <c:v>08/13/23</c:v>
                </c:pt>
                <c:pt idx="9">
                  <c:v>09/10/23</c:v>
                </c:pt>
                <c:pt idx="10">
                  <c:v>10/08/23</c:v>
                </c:pt>
                <c:pt idx="11">
                  <c:v>11/05/23</c:v>
                </c:pt>
                <c:pt idx="12">
                  <c:v>12/03/23</c:v>
                </c:pt>
                <c:pt idx="13">
                  <c:v>12/31/23</c:v>
                </c:pt>
              </c:strCache>
            </c:strRef>
          </c:cat>
          <c:val>
            <c:numRef>
              <c:f>'Price Сhanges'!$D$6:$D$19</c:f>
              <c:numCache>
                <c:formatCode>General</c:formatCode>
                <c:ptCount val="14"/>
                <c:pt idx="0">
                  <c:v>27.62</c:v>
                </c:pt>
                <c:pt idx="1">
                  <c:v>27.64</c:v>
                </c:pt>
                <c:pt idx="2">
                  <c:v>27.6</c:v>
                </c:pt>
                <c:pt idx="3">
                  <c:v>27.7</c:v>
                </c:pt>
                <c:pt idx="4">
                  <c:v>27.9</c:v>
                </c:pt>
                <c:pt idx="5">
                  <c:v>28.5</c:v>
                </c:pt>
                <c:pt idx="6">
                  <c:v>29.5</c:v>
                </c:pt>
                <c:pt idx="7">
                  <c:v>29.8</c:v>
                </c:pt>
                <c:pt idx="8">
                  <c:v>29.96</c:v>
                </c:pt>
                <c:pt idx="9">
                  <c:v>29.99</c:v>
                </c:pt>
                <c:pt idx="10">
                  <c:v>29.97</c:v>
                </c:pt>
                <c:pt idx="11">
                  <c:v>29.95</c:v>
                </c:pt>
                <c:pt idx="12">
                  <c:v>29.96</c:v>
                </c:pt>
                <c:pt idx="13">
                  <c:v>29.96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7973673"/>
        <c:axId val="25663539"/>
      </c:lineChart>
      <c:lineChart>
        <c:grouping val="standard"/>
        <c:varyColors val="0"/>
        <c:ser>
          <c:idx val="1"/>
          <c:order val="1"/>
          <c:tx>
            <c:strRef>
              <c:f>'Price Сhanges'!$B$5:$B$5</c:f>
              <c:strCache>
                <c:ptCount val="1"/>
                <c:pt idx="0">
                  <c:v>Dollars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Сhanges'!$A$6:$A$19</c:f>
              <c:strCache>
                <c:ptCount val="14"/>
                <c:pt idx="0">
                  <c:v>01/01/23</c:v>
                </c:pt>
                <c:pt idx="1">
                  <c:v>01/29/23</c:v>
                </c:pt>
                <c:pt idx="2">
                  <c:v>02/26/23</c:v>
                </c:pt>
                <c:pt idx="3">
                  <c:v>03/26/23</c:v>
                </c:pt>
                <c:pt idx="4">
                  <c:v>04/23/23</c:v>
                </c:pt>
                <c:pt idx="5">
                  <c:v>05/21/23</c:v>
                </c:pt>
                <c:pt idx="6">
                  <c:v>06/18/23</c:v>
                </c:pt>
                <c:pt idx="7">
                  <c:v>07/16/23</c:v>
                </c:pt>
                <c:pt idx="8">
                  <c:v>08/13/23</c:v>
                </c:pt>
                <c:pt idx="9">
                  <c:v>09/10/23</c:v>
                </c:pt>
                <c:pt idx="10">
                  <c:v>10/08/23</c:v>
                </c:pt>
                <c:pt idx="11">
                  <c:v>11/05/23</c:v>
                </c:pt>
                <c:pt idx="12">
                  <c:v>12/03/23</c:v>
                </c:pt>
                <c:pt idx="13">
                  <c:v>12/31/23</c:v>
                </c:pt>
              </c:strCache>
            </c:strRef>
          </c:cat>
          <c:val>
            <c:numRef>
              <c:f>'Price Сhanges'!$B$6:$B$19</c:f>
              <c:numCache>
                <c:formatCode>General</c:formatCode>
                <c:ptCount val="14"/>
                <c:pt idx="0">
                  <c:v>683180.7</c:v>
                </c:pt>
                <c:pt idx="1">
                  <c:v>764467.12</c:v>
                </c:pt>
                <c:pt idx="2">
                  <c:v>792230.4</c:v>
                </c:pt>
                <c:pt idx="3">
                  <c:v>795516.3</c:v>
                </c:pt>
                <c:pt idx="4">
                  <c:v>761446.8</c:v>
                </c:pt>
                <c:pt idx="5">
                  <c:v>772606.5</c:v>
                </c:pt>
                <c:pt idx="6">
                  <c:v>798506</c:v>
                </c:pt>
                <c:pt idx="7">
                  <c:v>557975.2</c:v>
                </c:pt>
                <c:pt idx="8">
                  <c:v>501620.28</c:v>
                </c:pt>
                <c:pt idx="9">
                  <c:v>357120.92</c:v>
                </c:pt>
                <c:pt idx="10">
                  <c:v>405164.43</c:v>
                </c:pt>
                <c:pt idx="11">
                  <c:v>423193.5</c:v>
                </c:pt>
                <c:pt idx="12">
                  <c:v>240548.84</c:v>
                </c:pt>
                <c:pt idx="13">
                  <c:v>132213.48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1121325"/>
        <c:axId val="97182319"/>
      </c:lineChart>
      <c:catAx>
        <c:axId val="67973673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5663539"/>
        <c:crossesAt val="0"/>
        <c:auto val="1"/>
        <c:lblAlgn val="ctr"/>
        <c:lblOffset val="100"/>
        <c:noMultiLvlLbl val="0"/>
      </c:catAx>
      <c:valAx>
        <c:axId val="2566353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7973673"/>
        <c:crosses val="autoZero"/>
        <c:crossBetween val="midCat"/>
      </c:valAx>
      <c:catAx>
        <c:axId val="2112132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7182319"/>
        <c:auto val="1"/>
        <c:lblAlgn val="ctr"/>
        <c:lblOffset val="100"/>
        <c:noMultiLvlLbl val="0"/>
      </c:catAx>
      <c:valAx>
        <c:axId val="97182319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1121325"/>
        <c:crosses val="max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Product 37 -% of Stores vs Sales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'Price Сhanges'!$G$45:$G$45</c:f>
              <c:strCache>
                <c:ptCount val="1"/>
                <c:pt idx="0">
                  <c:v>% of Stores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Сhanges'!$A$46:$A$59</c:f>
              <c:strCache>
                <c:ptCount val="14"/>
                <c:pt idx="0">
                  <c:v>01/01/23</c:v>
                </c:pt>
                <c:pt idx="1">
                  <c:v>01/29/23</c:v>
                </c:pt>
                <c:pt idx="2">
                  <c:v>02/26/23</c:v>
                </c:pt>
                <c:pt idx="3">
                  <c:v>03/26/23</c:v>
                </c:pt>
                <c:pt idx="4">
                  <c:v>04/23/23</c:v>
                </c:pt>
                <c:pt idx="5">
                  <c:v>05/21/23</c:v>
                </c:pt>
                <c:pt idx="6">
                  <c:v>06/18/23</c:v>
                </c:pt>
                <c:pt idx="7">
                  <c:v>07/16/23</c:v>
                </c:pt>
                <c:pt idx="8">
                  <c:v>08/13/23</c:v>
                </c:pt>
                <c:pt idx="9">
                  <c:v>09/10/23</c:v>
                </c:pt>
                <c:pt idx="10">
                  <c:v>10/08/23</c:v>
                </c:pt>
                <c:pt idx="11">
                  <c:v>11/05/23</c:v>
                </c:pt>
                <c:pt idx="12">
                  <c:v>12/03/23</c:v>
                </c:pt>
                <c:pt idx="13">
                  <c:v>12/31/23</c:v>
                </c:pt>
              </c:strCache>
            </c:strRef>
          </c:cat>
          <c:val>
            <c:numRef>
              <c:f>'Price Сhanges'!$G$46:$G$59</c:f>
              <c:numCache>
                <c:formatCode>General</c:formatCode>
                <c:ptCount val="14"/>
                <c:pt idx="0">
                  <c:v>0.383799126637555</c:v>
                </c:pt>
                <c:pt idx="1">
                  <c:v>0.421799923593298</c:v>
                </c:pt>
                <c:pt idx="2">
                  <c:v>0.397999890823735</c:v>
                </c:pt>
                <c:pt idx="3">
                  <c:v>0.413300557194363</c:v>
                </c:pt>
                <c:pt idx="4">
                  <c:v>0.392900366580949</c:v>
                </c:pt>
                <c:pt idx="5">
                  <c:v>0.390899331799759</c:v>
                </c:pt>
                <c:pt idx="6">
                  <c:v>0.454699336731897</c:v>
                </c:pt>
                <c:pt idx="7">
                  <c:v>0.418</c:v>
                </c:pt>
                <c:pt idx="8">
                  <c:v>0.288800438596491</c:v>
                </c:pt>
                <c:pt idx="9">
                  <c:v>0.222599254222417</c:v>
                </c:pt>
                <c:pt idx="10">
                  <c:v>0.189099484479544</c:v>
                </c:pt>
                <c:pt idx="11">
                  <c:v>0.160800789820097</c:v>
                </c:pt>
                <c:pt idx="12">
                  <c:v>0.144399341744377</c:v>
                </c:pt>
                <c:pt idx="13">
                  <c:v>0.135001097213079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0558459"/>
        <c:axId val="3762158"/>
      </c:lineChart>
      <c:lineChart>
        <c:grouping val="standard"/>
        <c:varyColors val="0"/>
        <c:ser>
          <c:idx val="1"/>
          <c:order val="1"/>
          <c:tx>
            <c:strRef>
              <c:f>'Price Сhanges'!$C$45:$C$45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'Price Сhanges'!$A$46:$A$59</c:f>
              <c:strCache>
                <c:ptCount val="14"/>
                <c:pt idx="0">
                  <c:v>01/01/23</c:v>
                </c:pt>
                <c:pt idx="1">
                  <c:v>01/29/23</c:v>
                </c:pt>
                <c:pt idx="2">
                  <c:v>02/26/23</c:v>
                </c:pt>
                <c:pt idx="3">
                  <c:v>03/26/23</c:v>
                </c:pt>
                <c:pt idx="4">
                  <c:v>04/23/23</c:v>
                </c:pt>
                <c:pt idx="5">
                  <c:v>05/21/23</c:v>
                </c:pt>
                <c:pt idx="6">
                  <c:v>06/18/23</c:v>
                </c:pt>
                <c:pt idx="7">
                  <c:v>07/16/23</c:v>
                </c:pt>
                <c:pt idx="8">
                  <c:v>08/13/23</c:v>
                </c:pt>
                <c:pt idx="9">
                  <c:v>09/10/23</c:v>
                </c:pt>
                <c:pt idx="10">
                  <c:v>10/08/23</c:v>
                </c:pt>
                <c:pt idx="11">
                  <c:v>11/05/23</c:v>
                </c:pt>
                <c:pt idx="12">
                  <c:v>12/03/23</c:v>
                </c:pt>
                <c:pt idx="13">
                  <c:v>12/31/23</c:v>
                </c:pt>
              </c:strCache>
            </c:strRef>
          </c:cat>
          <c:val>
            <c:numRef>
              <c:f>'Price Сhanges'!$C$46:$C$59</c:f>
              <c:numCache>
                <c:formatCode>General</c:formatCode>
                <c:ptCount val="14"/>
                <c:pt idx="0">
                  <c:v>2989</c:v>
                </c:pt>
                <c:pt idx="1">
                  <c:v>3439</c:v>
                </c:pt>
                <c:pt idx="2">
                  <c:v>3182</c:v>
                </c:pt>
                <c:pt idx="3">
                  <c:v>3399</c:v>
                </c:pt>
                <c:pt idx="4">
                  <c:v>2957</c:v>
                </c:pt>
                <c:pt idx="5">
                  <c:v>3039</c:v>
                </c:pt>
                <c:pt idx="6">
                  <c:v>3928</c:v>
                </c:pt>
                <c:pt idx="7">
                  <c:v>3697</c:v>
                </c:pt>
                <c:pt idx="8">
                  <c:v>2383</c:v>
                </c:pt>
                <c:pt idx="9">
                  <c:v>1733</c:v>
                </c:pt>
                <c:pt idx="10">
                  <c:v>1421</c:v>
                </c:pt>
                <c:pt idx="11">
                  <c:v>1181</c:v>
                </c:pt>
                <c:pt idx="12">
                  <c:v>1073</c:v>
                </c:pt>
                <c:pt idx="13">
                  <c:v>944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5516636"/>
        <c:axId val="9698173"/>
      </c:lineChart>
      <c:catAx>
        <c:axId val="60558459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762158"/>
        <c:crossesAt val="0"/>
        <c:auto val="1"/>
        <c:lblAlgn val="ctr"/>
        <c:lblOffset val="100"/>
        <c:noMultiLvlLbl val="0"/>
      </c:catAx>
      <c:valAx>
        <c:axId val="37621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0558459"/>
        <c:crosses val="autoZero"/>
        <c:crossBetween val="midCat"/>
      </c:valAx>
      <c:catAx>
        <c:axId val="1551663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698173"/>
        <c:auto val="1"/>
        <c:lblAlgn val="ctr"/>
        <c:lblOffset val="100"/>
        <c:noMultiLvlLbl val="0"/>
      </c:catAx>
      <c:valAx>
        <c:axId val="9698173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5516636"/>
        <c:crosses val="max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Relationship Id="rId4" Type="http://schemas.openxmlformats.org/officeDocument/2006/relationships/chart" Target="../charts/chart25.xml"/><Relationship Id="rId5" Type="http://schemas.openxmlformats.org/officeDocument/2006/relationships/chart" Target="../charts/chart26.xml"/><Relationship Id="rId6" Type="http://schemas.openxmlformats.org/officeDocument/2006/relationships/chart" Target="../charts/chart27.xml"/><Relationship Id="rId7" Type="http://schemas.openxmlformats.org/officeDocument/2006/relationships/chart" Target="../charts/chart28.xml"/><Relationship Id="rId8" Type="http://schemas.openxmlformats.org/officeDocument/2006/relationships/chart" Target="../charts/chart29.xml"/><Relationship Id="rId9" Type="http://schemas.openxmlformats.org/officeDocument/2006/relationships/chart" Target="../charts/chart30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wmf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83160</xdr:colOff>
      <xdr:row>1</xdr:row>
      <xdr:rowOff>6120</xdr:rowOff>
    </xdr:from>
    <xdr:to>
      <xdr:col>17</xdr:col>
      <xdr:colOff>158760</xdr:colOff>
      <xdr:row>23</xdr:row>
      <xdr:rowOff>120600</xdr:rowOff>
    </xdr:to>
    <xdr:graphicFrame>
      <xdr:nvGraphicFramePr>
        <xdr:cNvPr id="0" name=""/>
        <xdr:cNvGraphicFramePr/>
      </xdr:nvGraphicFramePr>
      <xdr:xfrm>
        <a:off x="7152120" y="168840"/>
        <a:ext cx="6577920" cy="397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18000</xdr:colOff>
      <xdr:row>124</xdr:row>
      <xdr:rowOff>12600</xdr:rowOff>
    </xdr:from>
    <xdr:to>
      <xdr:col>14</xdr:col>
      <xdr:colOff>7560</xdr:colOff>
      <xdr:row>141</xdr:row>
      <xdr:rowOff>138960</xdr:rowOff>
    </xdr:to>
    <xdr:graphicFrame>
      <xdr:nvGraphicFramePr>
        <xdr:cNvPr id="1" name=""/>
        <xdr:cNvGraphicFramePr/>
      </xdr:nvGraphicFramePr>
      <xdr:xfrm>
        <a:off x="5707440" y="21429720"/>
        <a:ext cx="5679360" cy="310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43200</xdr:colOff>
      <xdr:row>142</xdr:row>
      <xdr:rowOff>40680</xdr:rowOff>
    </xdr:from>
    <xdr:to>
      <xdr:col>14</xdr:col>
      <xdr:colOff>32760</xdr:colOff>
      <xdr:row>159</xdr:row>
      <xdr:rowOff>157680</xdr:rowOff>
    </xdr:to>
    <xdr:graphicFrame>
      <xdr:nvGraphicFramePr>
        <xdr:cNvPr id="2" name=""/>
        <xdr:cNvGraphicFramePr/>
      </xdr:nvGraphicFramePr>
      <xdr:xfrm>
        <a:off x="5732640" y="24612480"/>
        <a:ext cx="5679360" cy="302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34560</xdr:colOff>
      <xdr:row>82</xdr:row>
      <xdr:rowOff>173160</xdr:rowOff>
    </xdr:from>
    <xdr:to>
      <xdr:col>14</xdr:col>
      <xdr:colOff>51120</xdr:colOff>
      <xdr:row>100</xdr:row>
      <xdr:rowOff>124560</xdr:rowOff>
    </xdr:to>
    <xdr:graphicFrame>
      <xdr:nvGraphicFramePr>
        <xdr:cNvPr id="3" name=""/>
        <xdr:cNvGraphicFramePr/>
      </xdr:nvGraphicFramePr>
      <xdr:xfrm>
        <a:off x="5724000" y="14382000"/>
        <a:ext cx="5706360" cy="310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26280</xdr:colOff>
      <xdr:row>101</xdr:row>
      <xdr:rowOff>31680</xdr:rowOff>
    </xdr:from>
    <xdr:to>
      <xdr:col>14</xdr:col>
      <xdr:colOff>15840</xdr:colOff>
      <xdr:row>119</xdr:row>
      <xdr:rowOff>72000</xdr:rowOff>
    </xdr:to>
    <xdr:graphicFrame>
      <xdr:nvGraphicFramePr>
        <xdr:cNvPr id="4" name=""/>
        <xdr:cNvGraphicFramePr/>
      </xdr:nvGraphicFramePr>
      <xdr:xfrm>
        <a:off x="5715720" y="17570520"/>
        <a:ext cx="5679360" cy="310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25920</xdr:colOff>
      <xdr:row>42</xdr:row>
      <xdr:rowOff>32400</xdr:rowOff>
    </xdr:from>
    <xdr:to>
      <xdr:col>14</xdr:col>
      <xdr:colOff>15480</xdr:colOff>
      <xdr:row>59</xdr:row>
      <xdr:rowOff>111960</xdr:rowOff>
    </xdr:to>
    <xdr:graphicFrame>
      <xdr:nvGraphicFramePr>
        <xdr:cNvPr id="5" name=""/>
        <xdr:cNvGraphicFramePr/>
      </xdr:nvGraphicFramePr>
      <xdr:xfrm>
        <a:off x="5715360" y="7345080"/>
        <a:ext cx="5679360" cy="30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120960</xdr:colOff>
      <xdr:row>42</xdr:row>
      <xdr:rowOff>79920</xdr:rowOff>
    </xdr:from>
    <xdr:to>
      <xdr:col>21</xdr:col>
      <xdr:colOff>110880</xdr:colOff>
      <xdr:row>58</xdr:row>
      <xdr:rowOff>159840</xdr:rowOff>
    </xdr:to>
    <xdr:graphicFrame>
      <xdr:nvGraphicFramePr>
        <xdr:cNvPr id="6" name=""/>
        <xdr:cNvGraphicFramePr/>
      </xdr:nvGraphicFramePr>
      <xdr:xfrm>
        <a:off x="11500200" y="7392600"/>
        <a:ext cx="5679360" cy="288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7</xdr:col>
      <xdr:colOff>26640</xdr:colOff>
      <xdr:row>2</xdr:row>
      <xdr:rowOff>14400</xdr:rowOff>
    </xdr:from>
    <xdr:to>
      <xdr:col>13</xdr:col>
      <xdr:colOff>794880</xdr:colOff>
      <xdr:row>19</xdr:row>
      <xdr:rowOff>93600</xdr:rowOff>
    </xdr:to>
    <xdr:graphicFrame>
      <xdr:nvGraphicFramePr>
        <xdr:cNvPr id="7" name=""/>
        <xdr:cNvGraphicFramePr/>
      </xdr:nvGraphicFramePr>
      <xdr:xfrm>
        <a:off x="5716080" y="352080"/>
        <a:ext cx="5645160" cy="30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43200</xdr:colOff>
      <xdr:row>20</xdr:row>
      <xdr:rowOff>16920</xdr:rowOff>
    </xdr:from>
    <xdr:to>
      <xdr:col>14</xdr:col>
      <xdr:colOff>32760</xdr:colOff>
      <xdr:row>37</xdr:row>
      <xdr:rowOff>81000</xdr:rowOff>
    </xdr:to>
    <xdr:graphicFrame>
      <xdr:nvGraphicFramePr>
        <xdr:cNvPr id="9" name=""/>
        <xdr:cNvGraphicFramePr/>
      </xdr:nvGraphicFramePr>
      <xdr:xfrm>
        <a:off x="5732640" y="3496680"/>
        <a:ext cx="5679360" cy="30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7</xdr:col>
      <xdr:colOff>26640</xdr:colOff>
      <xdr:row>60</xdr:row>
      <xdr:rowOff>46080</xdr:rowOff>
    </xdr:from>
    <xdr:to>
      <xdr:col>14</xdr:col>
      <xdr:colOff>8280</xdr:colOff>
      <xdr:row>78</xdr:row>
      <xdr:rowOff>39240</xdr:rowOff>
    </xdr:to>
    <xdr:graphicFrame>
      <xdr:nvGraphicFramePr>
        <xdr:cNvPr id="11" name=""/>
        <xdr:cNvGraphicFramePr/>
      </xdr:nvGraphicFramePr>
      <xdr:xfrm>
        <a:off x="5716080" y="10500840"/>
        <a:ext cx="5671440" cy="30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</cdr:x>
      <cdr:y>0</cdr:y>
    </cdr:from>
    <cdr:to>
      <cdr:x>0.063129702844025</cdr:x>
      <cdr:y>0.117321722758296</cdr:y>
    </cdr:to>
    <cdr:pic>
      <cdr:nvPicPr>
        <cdr:cNvPr id="8" name="" descr=""/>
        <cdr:cNvPicPr/>
      </cdr:nvPicPr>
      <cdr:blipFill>
        <a:blip r:embed="rId1"/>
        <a:stretch/>
      </cdr:blipFill>
      <cdr:spPr>
        <a:xfrm>
          <a:off x="0" y="0"/>
          <a:ext cx="356400" cy="358920"/>
        </a:xfrm>
        <a:prstGeom prst="rect">
          <a:avLst/>
        </a:prstGeom>
        <a:ln w="0">
          <a:noFill/>
        </a:ln>
      </cdr:spPr>
    </cdr:pic>
  </cdr:relSizeAnchor>
</c:userShapes>
</file>

<file path=xl/drawings/drawing5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</cdr:x>
      <cdr:y>0</cdr:y>
    </cdr:from>
    <cdr:to>
      <cdr:x>0.0631932560055777</cdr:x>
      <cdr:y>0.117321722758296</cdr:y>
    </cdr:to>
    <cdr:pic>
      <cdr:nvPicPr>
        <cdr:cNvPr id="10" name="" descr=""/>
        <cdr:cNvPicPr/>
      </cdr:nvPicPr>
      <cdr:blipFill>
        <a:blip r:embed="rId1"/>
        <a:stretch/>
      </cdr:blipFill>
      <cdr:spPr>
        <a:xfrm>
          <a:off x="0" y="0"/>
          <a:ext cx="358920" cy="358920"/>
        </a:xfrm>
        <a:prstGeom prst="rect">
          <a:avLst/>
        </a:prstGeom>
        <a:ln w="0">
          <a:noFill/>
        </a:ln>
      </cdr:spPr>
    </cdr:pic>
  </cdr:relSizeAnchor>
</c:userShape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9646"/>
    <pageSetUpPr fitToPage="false"/>
  </sheetPr>
  <dimension ref="B3: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83203125" defaultRowHeight="15" zeroHeight="false" outlineLevelRow="0" outlineLevelCol="0"/>
  <cols>
    <col collapsed="false" customWidth="true" hidden="false" outlineLevel="0" max="3" min="3" style="1" width="17.83"/>
  </cols>
  <sheetData>
    <row r="3" customFormat="false" ht="15.75" hidden="false" customHeight="false" outlineLevel="0" collapsed="false">
      <c r="C3" s="2" t="s">
        <v>0</v>
      </c>
    </row>
    <row r="4" customFormat="false" ht="15" hidden="false" customHeight="false" outlineLevel="0" collapsed="false">
      <c r="C4" s="1" t="s">
        <v>1</v>
      </c>
    </row>
    <row r="5" customFormat="false" ht="15" hidden="false" customHeight="false" outlineLevel="0" collapsed="false">
      <c r="C5" s="1" t="s">
        <v>2</v>
      </c>
    </row>
    <row r="6" customFormat="false" ht="15" hidden="false" customHeight="false" outlineLevel="0" collapsed="false">
      <c r="C6" s="1" t="s">
        <v>3</v>
      </c>
    </row>
    <row r="8" customFormat="false" ht="15.75" hidden="false" customHeight="false" outlineLevel="0" collapsed="false">
      <c r="C8" s="2" t="s">
        <v>4</v>
      </c>
    </row>
    <row r="9" customFormat="false" ht="15" hidden="false" customHeight="false" outlineLevel="0" collapsed="false">
      <c r="B9" s="1" t="n">
        <v>1</v>
      </c>
      <c r="C9" s="1" t="s">
        <v>5</v>
      </c>
    </row>
    <row r="10" customFormat="false" ht="15" hidden="false" customHeight="false" outlineLevel="0" collapsed="false">
      <c r="B10" s="1" t="n">
        <v>2</v>
      </c>
      <c r="C10" s="1" t="s">
        <v>6</v>
      </c>
    </row>
    <row r="12" customFormat="false" ht="15.75" hidden="false" customHeight="false" outlineLevel="0" collapsed="false">
      <c r="C12" s="2" t="s">
        <v>7</v>
      </c>
    </row>
    <row r="13" customFormat="false" ht="15" hidden="false" customHeight="false" outlineLevel="0" collapsed="false">
      <c r="B13" s="3" t="n">
        <v>1</v>
      </c>
      <c r="C13" s="3" t="s">
        <v>8</v>
      </c>
    </row>
    <row r="14" customFormat="false" ht="15" hidden="false" customHeight="false" outlineLevel="0" collapsed="false">
      <c r="B14" s="3" t="n">
        <v>2</v>
      </c>
      <c r="C14" s="3" t="s">
        <v>9</v>
      </c>
    </row>
    <row r="15" customFormat="false" ht="15" hidden="false" customHeight="false" outlineLevel="0" collapsed="false">
      <c r="B15" s="3" t="n">
        <v>3</v>
      </c>
      <c r="C15" s="3" t="s">
        <v>10</v>
      </c>
    </row>
    <row r="16" customFormat="false" ht="15" hidden="false" customHeight="false" outlineLevel="0" collapsed="false">
      <c r="B16" s="3" t="n">
        <v>4</v>
      </c>
      <c r="C16" s="3" t="s">
        <v>11</v>
      </c>
    </row>
    <row r="18" customFormat="false" ht="15.75" hidden="false" customHeight="false" outlineLevel="0" collapsed="false">
      <c r="C18" s="4" t="s">
        <v>12</v>
      </c>
    </row>
    <row r="19" customFormat="false" ht="15.75" hidden="false" customHeight="false" outlineLevel="0" collapsed="false">
      <c r="C19" s="4" t="s">
        <v>13</v>
      </c>
    </row>
    <row r="20" customFormat="false" ht="15.75" hidden="false" customHeight="false" outlineLevel="0" collapsed="false">
      <c r="C20" s="4" t="s">
        <v>14</v>
      </c>
    </row>
    <row r="22" customFormat="false" ht="15.75" hidden="false" customHeight="false" outlineLevel="0" collapsed="false">
      <c r="C22" s="4" t="s">
        <v>15</v>
      </c>
    </row>
    <row r="23" customFormat="false" ht="15" hidden="false" customHeight="false" outlineLevel="0" collapsed="false">
      <c r="C23" s="1" t="s">
        <v>16</v>
      </c>
      <c r="D23" s="3" t="s">
        <v>17</v>
      </c>
    </row>
    <row r="24" customFormat="false" ht="15" hidden="false" customHeight="false" outlineLevel="0" collapsed="false">
      <c r="C24" s="1" t="s">
        <v>18</v>
      </c>
      <c r="D24" s="3" t="s">
        <v>19</v>
      </c>
    </row>
    <row r="25" customFormat="false" ht="15" hidden="false" customHeight="false" outlineLevel="0" collapsed="false">
      <c r="C25" s="1" t="s">
        <v>20</v>
      </c>
      <c r="D25" s="3" t="s">
        <v>21</v>
      </c>
    </row>
    <row r="26" customFormat="false" ht="15" hidden="false" customHeight="false" outlineLevel="0" collapsed="false">
      <c r="C26" s="1" t="s">
        <v>22</v>
      </c>
      <c r="D26" s="3" t="s">
        <v>23</v>
      </c>
    </row>
    <row r="27" customFormat="false" ht="15" hidden="false" customHeight="false" outlineLevel="0" collapsed="false">
      <c r="C27" s="1" t="s">
        <v>24</v>
      </c>
      <c r="D27" s="3" t="s">
        <v>25</v>
      </c>
    </row>
    <row r="28" customFormat="false" ht="15" hidden="false" customHeight="false" outlineLevel="0" collapsed="false">
      <c r="C28" s="1" t="s">
        <v>26</v>
      </c>
      <c r="D28" s="3" t="s">
        <v>27</v>
      </c>
    </row>
    <row r="29" customFormat="false" ht="15" hidden="false" customHeight="false" outlineLevel="0" collapsed="false">
      <c r="C29" s="1" t="s">
        <v>28</v>
      </c>
      <c r="D29" s="3" t="s">
        <v>29</v>
      </c>
    </row>
    <row r="30" customFormat="false" ht="15" hidden="false" customHeight="false" outlineLevel="0" collapsed="false">
      <c r="C30" s="1" t="s">
        <v>30</v>
      </c>
      <c r="D30" s="3" t="s">
        <v>31</v>
      </c>
    </row>
    <row r="31" customFormat="false" ht="15" hidden="false" customHeight="false" outlineLevel="0" collapsed="false">
      <c r="C31" s="1" t="s">
        <v>32</v>
      </c>
      <c r="D31" s="3" t="s">
        <v>33</v>
      </c>
    </row>
    <row r="32" customFormat="false" ht="15" hidden="false" customHeight="false" outlineLevel="0" collapsed="false">
      <c r="C32" s="5" t="s">
        <v>34</v>
      </c>
      <c r="D32" s="3" t="s">
        <v>35</v>
      </c>
    </row>
    <row r="33" customFormat="false" ht="15" hidden="false" customHeight="false" outlineLevel="0" collapsed="false">
      <c r="C33" s="5" t="s">
        <v>36</v>
      </c>
      <c r="D33" s="3" t="s">
        <v>37</v>
      </c>
    </row>
    <row r="36" customFormat="false" ht="15" hidden="false" customHeight="false" outlineLevel="0" collapsed="false">
      <c r="C36" s="6" t="s">
        <v>38</v>
      </c>
    </row>
    <row r="37" customFormat="false" ht="15" hidden="false" customHeight="false" outlineLevel="0" collapsed="false">
      <c r="C37" s="7" t="s">
        <v>39</v>
      </c>
      <c r="D37" s="8" t="s">
        <v>40</v>
      </c>
    </row>
    <row r="38" customFormat="false" ht="15" hidden="false" customHeight="false" outlineLevel="0" collapsed="false">
      <c r="C38" s="7" t="s">
        <v>41</v>
      </c>
      <c r="D38" s="8" t="n">
        <v>30</v>
      </c>
    </row>
    <row r="39" customFormat="false" ht="15" hidden="false" customHeight="false" outlineLevel="0" collapsed="false">
      <c r="C39" s="7" t="s">
        <v>42</v>
      </c>
      <c r="D39" s="9" t="n">
        <v>19.97</v>
      </c>
    </row>
    <row r="41" customFormat="false" ht="15" hidden="false" customHeight="false" outlineLevel="0" collapsed="false">
      <c r="C41" s="6" t="s">
        <v>43</v>
      </c>
    </row>
    <row r="42" customFormat="false" ht="15" hidden="false" customHeight="false" outlineLevel="0" collapsed="false">
      <c r="C42" s="3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K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44" activeCellId="0" sqref="G44"/>
    </sheetView>
  </sheetViews>
  <sheetFormatPr defaultColWidth="8.83203125" defaultRowHeight="12.8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0.66"/>
    <col collapsed="false" customWidth="true" hidden="false" outlineLevel="0" max="3" min="3" style="1" width="8.5"/>
    <col collapsed="false" customWidth="true" hidden="false" outlineLevel="0" max="4" min="4" style="1" width="10.33"/>
    <col collapsed="false" customWidth="true" hidden="false" outlineLevel="0" max="5" min="5" style="1" width="19.33"/>
    <col collapsed="false" customWidth="true" hidden="false" outlineLevel="0" max="6" min="6" style="1" width="4.5"/>
    <col collapsed="false" customWidth="true" hidden="false" outlineLevel="0" max="7" min="7" style="1" width="12.67"/>
    <col collapsed="false" customWidth="true" hidden="false" outlineLevel="0" max="9" min="8" style="1" width="6.51"/>
    <col collapsed="false" customWidth="true" hidden="false" outlineLevel="0" max="10" min="10" style="1" width="10.33"/>
    <col collapsed="false" customWidth="true" hidden="false" outlineLevel="0" max="11" min="11" style="1" width="16.83"/>
    <col collapsed="false" customWidth="true" hidden="false" outlineLevel="0" max="17" min="15" style="1" width="10.33"/>
  </cols>
  <sheetData>
    <row r="1" customFormat="false" ht="15" hidden="false" customHeight="false" outlineLevel="0" collapsed="false">
      <c r="A1" s="3" t="s">
        <v>16</v>
      </c>
      <c r="B1" s="3" t="s">
        <v>18</v>
      </c>
      <c r="C1" s="3" t="s">
        <v>20</v>
      </c>
      <c r="D1" s="3" t="s">
        <v>22</v>
      </c>
      <c r="E1" s="3" t="s">
        <v>24</v>
      </c>
      <c r="F1" s="3" t="s">
        <v>26</v>
      </c>
      <c r="G1" s="3" t="s">
        <v>28</v>
      </c>
      <c r="H1" s="3" t="s">
        <v>30</v>
      </c>
      <c r="I1" s="3" t="s">
        <v>32</v>
      </c>
      <c r="J1" s="5" t="s">
        <v>34</v>
      </c>
      <c r="K1" s="5" t="s">
        <v>36</v>
      </c>
    </row>
    <row r="2" customFormat="false" ht="15" hidden="false" customHeight="false" outlineLevel="0" collapsed="false">
      <c r="A2" s="1" t="n">
        <v>4</v>
      </c>
      <c r="B2" s="10" t="n">
        <v>44927</v>
      </c>
      <c r="C2" s="1" t="s">
        <v>45</v>
      </c>
      <c r="D2" s="1" t="s">
        <v>46</v>
      </c>
      <c r="E2" s="1" t="s">
        <v>47</v>
      </c>
      <c r="F2" s="1" t="n">
        <v>20</v>
      </c>
      <c r="G2" s="11" t="n">
        <v>298128.99</v>
      </c>
      <c r="H2" s="12" t="n">
        <v>14899</v>
      </c>
      <c r="I2" s="13" t="n">
        <v>20.01</v>
      </c>
      <c r="J2" s="12" t="n">
        <v>4580</v>
      </c>
      <c r="K2" s="12" t="n">
        <v>3592.09</v>
      </c>
    </row>
    <row r="3" customFormat="false" ht="15" hidden="false" customHeight="false" outlineLevel="0" collapsed="false">
      <c r="A3" s="1" t="n">
        <v>4</v>
      </c>
      <c r="B3" s="10" t="n">
        <v>44955</v>
      </c>
      <c r="C3" s="1" t="s">
        <v>45</v>
      </c>
      <c r="D3" s="1" t="s">
        <v>46</v>
      </c>
      <c r="E3" s="1" t="s">
        <v>47</v>
      </c>
      <c r="F3" s="1" t="n">
        <v>20</v>
      </c>
      <c r="G3" s="11" t="n">
        <v>288123.99</v>
      </c>
      <c r="H3" s="12" t="n">
        <v>14399</v>
      </c>
      <c r="I3" s="13" t="n">
        <v>20.01</v>
      </c>
      <c r="J3" s="12" t="n">
        <v>4580.75</v>
      </c>
      <c r="K3" s="12" t="n">
        <v>3621.54</v>
      </c>
    </row>
    <row r="4" customFormat="false" ht="15" hidden="false" customHeight="false" outlineLevel="0" collapsed="false">
      <c r="A4" s="1" t="n">
        <v>4</v>
      </c>
      <c r="B4" s="10" t="n">
        <v>44983</v>
      </c>
      <c r="C4" s="1" t="s">
        <v>45</v>
      </c>
      <c r="D4" s="1" t="s">
        <v>46</v>
      </c>
      <c r="E4" s="1" t="s">
        <v>47</v>
      </c>
      <c r="F4" s="1" t="n">
        <v>20</v>
      </c>
      <c r="G4" s="11" t="n">
        <v>284944.66</v>
      </c>
      <c r="H4" s="12" t="n">
        <v>14233</v>
      </c>
      <c r="I4" s="13" t="n">
        <v>20.02</v>
      </c>
      <c r="J4" s="12" t="n">
        <v>4579.75</v>
      </c>
      <c r="K4" s="12" t="n">
        <v>3600.6</v>
      </c>
    </row>
    <row r="5" customFormat="false" ht="15" hidden="false" customHeight="false" outlineLevel="0" collapsed="false">
      <c r="A5" s="1" t="n">
        <v>4</v>
      </c>
      <c r="B5" s="10" t="n">
        <v>45011</v>
      </c>
      <c r="C5" s="1" t="s">
        <v>45</v>
      </c>
      <c r="D5" s="1" t="s">
        <v>46</v>
      </c>
      <c r="E5" s="1" t="s">
        <v>47</v>
      </c>
      <c r="F5" s="1" t="n">
        <v>20</v>
      </c>
      <c r="G5" s="11" t="n">
        <v>296087.97</v>
      </c>
      <c r="H5" s="12" t="n">
        <v>14797</v>
      </c>
      <c r="I5" s="13" t="n">
        <v>20.01</v>
      </c>
      <c r="J5" s="12" t="n">
        <v>4576.5</v>
      </c>
      <c r="K5" s="12" t="n">
        <v>3631</v>
      </c>
    </row>
    <row r="6" customFormat="false" ht="15" hidden="false" customHeight="false" outlineLevel="0" collapsed="false">
      <c r="A6" s="1" t="n">
        <v>4</v>
      </c>
      <c r="B6" s="10" t="n">
        <v>45039</v>
      </c>
      <c r="C6" s="1" t="s">
        <v>45</v>
      </c>
      <c r="D6" s="1" t="s">
        <v>46</v>
      </c>
      <c r="E6" s="1" t="s">
        <v>47</v>
      </c>
      <c r="F6" s="1" t="n">
        <v>20</v>
      </c>
      <c r="G6" s="11" t="n">
        <v>292543.92</v>
      </c>
      <c r="H6" s="12" t="n">
        <v>14598</v>
      </c>
      <c r="I6" s="13" t="n">
        <v>20.04</v>
      </c>
      <c r="J6" s="12" t="n">
        <v>4569.25</v>
      </c>
      <c r="K6" s="12" t="n">
        <v>3599.66</v>
      </c>
    </row>
    <row r="7" customFormat="false" ht="15" hidden="false" customHeight="false" outlineLevel="0" collapsed="false">
      <c r="A7" s="1" t="n">
        <v>4</v>
      </c>
      <c r="B7" s="10" t="n">
        <v>45067</v>
      </c>
      <c r="C7" s="1" t="s">
        <v>45</v>
      </c>
      <c r="D7" s="1" t="s">
        <v>46</v>
      </c>
      <c r="E7" s="1" t="s">
        <v>47</v>
      </c>
      <c r="F7" s="1" t="n">
        <v>20</v>
      </c>
      <c r="G7" s="11" t="n">
        <v>295516.95</v>
      </c>
      <c r="H7" s="12" t="n">
        <v>14739</v>
      </c>
      <c r="I7" s="13" t="n">
        <v>20.05</v>
      </c>
      <c r="J7" s="12" t="n">
        <v>4564.5</v>
      </c>
      <c r="K7" s="12" t="n">
        <v>3616.91</v>
      </c>
    </row>
    <row r="8" customFormat="false" ht="15" hidden="false" customHeight="false" outlineLevel="0" collapsed="false">
      <c r="A8" s="1" t="n">
        <v>4</v>
      </c>
      <c r="B8" s="10" t="n">
        <v>45095</v>
      </c>
      <c r="C8" s="1" t="s">
        <v>45</v>
      </c>
      <c r="D8" s="1" t="s">
        <v>46</v>
      </c>
      <c r="E8" s="1" t="s">
        <v>47</v>
      </c>
      <c r="F8" s="1" t="n">
        <v>20</v>
      </c>
      <c r="G8" s="11" t="n">
        <v>296944.75</v>
      </c>
      <c r="H8" s="12" t="n">
        <v>14825</v>
      </c>
      <c r="I8" s="13" t="n">
        <v>20.03</v>
      </c>
      <c r="J8" s="12" t="n">
        <v>4560.75</v>
      </c>
      <c r="K8" s="12" t="n">
        <v>3635.83</v>
      </c>
    </row>
    <row r="9" customFormat="false" ht="15" hidden="false" customHeight="false" outlineLevel="0" collapsed="false">
      <c r="A9" s="1" t="n">
        <v>4</v>
      </c>
      <c r="B9" s="10" t="n">
        <v>45123</v>
      </c>
      <c r="C9" s="1" t="s">
        <v>45</v>
      </c>
      <c r="D9" s="1" t="s">
        <v>46</v>
      </c>
      <c r="E9" s="1" t="s">
        <v>47</v>
      </c>
      <c r="F9" s="1" t="n">
        <v>20</v>
      </c>
      <c r="G9" s="11" t="n">
        <v>291055.93</v>
      </c>
      <c r="H9" s="12" t="n">
        <v>14531</v>
      </c>
      <c r="I9" s="13" t="n">
        <v>20.03</v>
      </c>
      <c r="J9" s="12" t="n">
        <v>4560</v>
      </c>
      <c r="K9" s="12" t="n">
        <v>3616.08</v>
      </c>
    </row>
    <row r="10" customFormat="false" ht="15" hidden="false" customHeight="false" outlineLevel="0" collapsed="false">
      <c r="A10" s="1" t="n">
        <v>4</v>
      </c>
      <c r="B10" s="10" t="n">
        <v>45151</v>
      </c>
      <c r="C10" s="1" t="s">
        <v>45</v>
      </c>
      <c r="D10" s="1" t="s">
        <v>46</v>
      </c>
      <c r="E10" s="1" t="s">
        <v>47</v>
      </c>
      <c r="F10" s="1" t="n">
        <v>20</v>
      </c>
      <c r="G10" s="11" t="n">
        <v>305838.07</v>
      </c>
      <c r="H10" s="12" t="n">
        <v>15269</v>
      </c>
      <c r="I10" s="13" t="n">
        <v>20.03</v>
      </c>
      <c r="J10" s="12" t="n">
        <v>4560</v>
      </c>
      <c r="K10" s="12" t="n">
        <v>3670.8</v>
      </c>
    </row>
    <row r="11" customFormat="false" ht="15" hidden="false" customHeight="false" outlineLevel="0" collapsed="false">
      <c r="A11" s="1" t="n">
        <v>4</v>
      </c>
      <c r="B11" s="10" t="n">
        <v>45179</v>
      </c>
      <c r="C11" s="1" t="s">
        <v>45</v>
      </c>
      <c r="D11" s="1" t="s">
        <v>46</v>
      </c>
      <c r="E11" s="1" t="s">
        <v>47</v>
      </c>
      <c r="F11" s="1" t="n">
        <v>20</v>
      </c>
      <c r="G11" s="11" t="n">
        <v>308395.56</v>
      </c>
      <c r="H11" s="12" t="n">
        <v>15389</v>
      </c>
      <c r="I11" s="13" t="n">
        <v>20.04</v>
      </c>
      <c r="J11" s="12" t="n">
        <v>4559</v>
      </c>
      <c r="K11" s="12" t="n">
        <v>3644.92</v>
      </c>
    </row>
    <row r="12" customFormat="false" ht="15" hidden="false" customHeight="false" outlineLevel="0" collapsed="false">
      <c r="A12" s="1" t="n">
        <v>4</v>
      </c>
      <c r="B12" s="10" t="n">
        <v>45207</v>
      </c>
      <c r="C12" s="1" t="s">
        <v>45</v>
      </c>
      <c r="D12" s="1" t="s">
        <v>46</v>
      </c>
      <c r="E12" s="1" t="s">
        <v>47</v>
      </c>
      <c r="F12" s="1" t="n">
        <v>20</v>
      </c>
      <c r="G12" s="11" t="n">
        <v>291166.1</v>
      </c>
      <c r="H12" s="12" t="n">
        <v>14522</v>
      </c>
      <c r="I12" s="13" t="n">
        <v>20.05</v>
      </c>
      <c r="J12" s="12" t="n">
        <v>4558.5</v>
      </c>
      <c r="K12" s="12" t="n">
        <v>3563.84</v>
      </c>
    </row>
    <row r="13" customFormat="false" ht="15" hidden="false" customHeight="false" outlineLevel="0" collapsed="false">
      <c r="A13" s="1" t="n">
        <v>4</v>
      </c>
      <c r="B13" s="10" t="n">
        <v>45235</v>
      </c>
      <c r="C13" s="1" t="s">
        <v>45</v>
      </c>
      <c r="D13" s="1" t="s">
        <v>46</v>
      </c>
      <c r="E13" s="1" t="s">
        <v>47</v>
      </c>
      <c r="F13" s="1" t="n">
        <v>20</v>
      </c>
      <c r="G13" s="11" t="n">
        <v>306283.8</v>
      </c>
      <c r="H13" s="12" t="n">
        <v>15276</v>
      </c>
      <c r="I13" s="13" t="n">
        <v>20.05</v>
      </c>
      <c r="J13" s="12" t="n">
        <v>4558</v>
      </c>
      <c r="K13" s="12" t="n">
        <v>3612.22</v>
      </c>
    </row>
    <row r="14" customFormat="false" ht="15" hidden="false" customHeight="false" outlineLevel="0" collapsed="false">
      <c r="A14" s="1" t="n">
        <v>4</v>
      </c>
      <c r="B14" s="10" t="n">
        <v>45263</v>
      </c>
      <c r="C14" s="1" t="s">
        <v>45</v>
      </c>
      <c r="D14" s="1" t="s">
        <v>46</v>
      </c>
      <c r="E14" s="1" t="s">
        <v>47</v>
      </c>
      <c r="F14" s="1" t="n">
        <v>20</v>
      </c>
      <c r="G14" s="11" t="n">
        <v>286236.14</v>
      </c>
      <c r="H14" s="12" t="n">
        <v>14269</v>
      </c>
      <c r="I14" s="13" t="n">
        <v>20.06</v>
      </c>
      <c r="J14" s="12" t="n">
        <v>4557.5</v>
      </c>
      <c r="K14" s="12" t="n">
        <v>3547.56</v>
      </c>
    </row>
    <row r="15" customFormat="false" ht="15" hidden="false" customHeight="false" outlineLevel="0" collapsed="false">
      <c r="A15" s="1" t="n">
        <v>4</v>
      </c>
      <c r="B15" s="10" t="n">
        <v>45291</v>
      </c>
      <c r="C15" s="1" t="s">
        <v>45</v>
      </c>
      <c r="D15" s="1" t="s">
        <v>46</v>
      </c>
      <c r="E15" s="1" t="s">
        <v>47</v>
      </c>
      <c r="F15" s="1" t="n">
        <v>20</v>
      </c>
      <c r="G15" s="11" t="n">
        <v>305353.32</v>
      </c>
      <c r="H15" s="12" t="n">
        <v>15222</v>
      </c>
      <c r="I15" s="13" t="n">
        <v>20.06</v>
      </c>
      <c r="J15" s="12" t="n">
        <v>4557</v>
      </c>
      <c r="K15" s="12" t="n">
        <v>3570.87</v>
      </c>
    </row>
    <row r="16" customFormat="false" ht="15" hidden="false" customHeight="false" outlineLevel="0" collapsed="false">
      <c r="A16" s="1" t="n">
        <v>4</v>
      </c>
      <c r="B16" s="10" t="n">
        <v>44927</v>
      </c>
      <c r="C16" s="1" t="s">
        <v>45</v>
      </c>
      <c r="D16" s="1" t="s">
        <v>48</v>
      </c>
      <c r="E16" s="1" t="s">
        <v>47</v>
      </c>
      <c r="F16" s="1" t="n">
        <v>30</v>
      </c>
      <c r="G16" s="11" t="n">
        <v>68479.86</v>
      </c>
      <c r="H16" s="12" t="n">
        <v>2526</v>
      </c>
      <c r="I16" s="13" t="n">
        <v>27.11</v>
      </c>
      <c r="J16" s="12" t="n">
        <v>4580</v>
      </c>
      <c r="K16" s="12" t="n">
        <v>1406.06</v>
      </c>
    </row>
    <row r="17" customFormat="false" ht="15" hidden="false" customHeight="false" outlineLevel="0" collapsed="false">
      <c r="A17" s="1" t="n">
        <v>4</v>
      </c>
      <c r="B17" s="10" t="n">
        <v>44955</v>
      </c>
      <c r="C17" s="1" t="s">
        <v>45</v>
      </c>
      <c r="D17" s="1" t="s">
        <v>48</v>
      </c>
      <c r="E17" s="1" t="s">
        <v>47</v>
      </c>
      <c r="F17" s="1" t="n">
        <v>30</v>
      </c>
      <c r="G17" s="11" t="n">
        <v>69201.56</v>
      </c>
      <c r="H17" s="12" t="n">
        <v>2533</v>
      </c>
      <c r="I17" s="13" t="n">
        <v>27.32</v>
      </c>
      <c r="J17" s="12" t="n">
        <v>4580.75</v>
      </c>
      <c r="K17" s="12" t="n">
        <v>1427.36</v>
      </c>
    </row>
    <row r="18" customFormat="false" ht="15" hidden="false" customHeight="false" outlineLevel="0" collapsed="false">
      <c r="A18" s="1" t="n">
        <v>4</v>
      </c>
      <c r="B18" s="10" t="n">
        <v>44983</v>
      </c>
      <c r="C18" s="1" t="s">
        <v>45</v>
      </c>
      <c r="D18" s="1" t="s">
        <v>48</v>
      </c>
      <c r="E18" s="1" t="s">
        <v>47</v>
      </c>
      <c r="F18" s="1" t="n">
        <v>30</v>
      </c>
      <c r="G18" s="11" t="n">
        <v>62887.17</v>
      </c>
      <c r="H18" s="12" t="n">
        <v>2281</v>
      </c>
      <c r="I18" s="13" t="n">
        <v>27.57</v>
      </c>
      <c r="J18" s="12" t="n">
        <v>4579.75</v>
      </c>
      <c r="K18" s="12" t="n">
        <v>1329.04</v>
      </c>
    </row>
    <row r="19" customFormat="false" ht="15" hidden="false" customHeight="false" outlineLevel="0" collapsed="false">
      <c r="A19" s="1" t="n">
        <v>4</v>
      </c>
      <c r="B19" s="10" t="n">
        <v>45011</v>
      </c>
      <c r="C19" s="1" t="s">
        <v>45</v>
      </c>
      <c r="D19" s="1" t="s">
        <v>48</v>
      </c>
      <c r="E19" s="1" t="s">
        <v>47</v>
      </c>
      <c r="F19" s="1" t="n">
        <v>30</v>
      </c>
      <c r="G19" s="11" t="n">
        <v>61563.81</v>
      </c>
      <c r="H19" s="12" t="n">
        <v>2233</v>
      </c>
      <c r="I19" s="13" t="n">
        <v>27.57</v>
      </c>
      <c r="J19" s="12" t="n">
        <v>4576.5</v>
      </c>
      <c r="K19" s="12" t="n">
        <v>1288.74</v>
      </c>
    </row>
    <row r="20" customFormat="false" ht="15" hidden="false" customHeight="false" outlineLevel="0" collapsed="false">
      <c r="A20" s="1" t="n">
        <v>4</v>
      </c>
      <c r="B20" s="10" t="n">
        <v>45039</v>
      </c>
      <c r="C20" s="1" t="s">
        <v>45</v>
      </c>
      <c r="D20" s="1" t="s">
        <v>48</v>
      </c>
      <c r="E20" s="1" t="s">
        <v>47</v>
      </c>
      <c r="F20" s="1" t="n">
        <v>30</v>
      </c>
      <c r="G20" s="11" t="n">
        <v>59885.44</v>
      </c>
      <c r="H20" s="12" t="n">
        <v>2192</v>
      </c>
      <c r="I20" s="13" t="n">
        <v>27.32</v>
      </c>
      <c r="J20" s="12" t="n">
        <v>4569.25</v>
      </c>
      <c r="K20" s="12" t="n">
        <v>1321.43</v>
      </c>
    </row>
    <row r="21" customFormat="false" ht="15" hidden="false" customHeight="false" outlineLevel="0" collapsed="false">
      <c r="A21" s="1" t="n">
        <v>4</v>
      </c>
      <c r="B21" s="10" t="n">
        <v>45067</v>
      </c>
      <c r="C21" s="1" t="s">
        <v>45</v>
      </c>
      <c r="D21" s="1" t="s">
        <v>48</v>
      </c>
      <c r="E21" s="1" t="s">
        <v>47</v>
      </c>
      <c r="F21" s="1" t="n">
        <v>30</v>
      </c>
      <c r="G21" s="11" t="n">
        <v>57731.58</v>
      </c>
      <c r="H21" s="12" t="n">
        <v>2094</v>
      </c>
      <c r="I21" s="13" t="n">
        <v>27.57</v>
      </c>
      <c r="J21" s="12" t="n">
        <v>4564.5</v>
      </c>
      <c r="K21" s="12" t="n">
        <v>1269.39</v>
      </c>
    </row>
    <row r="22" customFormat="false" ht="15" hidden="false" customHeight="false" outlineLevel="0" collapsed="false">
      <c r="A22" s="1" t="n">
        <v>4</v>
      </c>
      <c r="B22" s="10" t="n">
        <v>45095</v>
      </c>
      <c r="C22" s="1" t="s">
        <v>45</v>
      </c>
      <c r="D22" s="1" t="s">
        <v>48</v>
      </c>
      <c r="E22" s="1" t="s">
        <v>47</v>
      </c>
      <c r="F22" s="1" t="n">
        <v>30</v>
      </c>
      <c r="G22" s="11" t="n">
        <v>61648.14</v>
      </c>
      <c r="H22" s="12" t="n">
        <v>2274</v>
      </c>
      <c r="I22" s="13" t="n">
        <v>27.11</v>
      </c>
      <c r="J22" s="12" t="n">
        <v>4560.75</v>
      </c>
      <c r="K22" s="12" t="n">
        <v>1354.09</v>
      </c>
    </row>
    <row r="23" customFormat="false" ht="15" hidden="false" customHeight="false" outlineLevel="0" collapsed="false">
      <c r="A23" s="1" t="n">
        <v>4</v>
      </c>
      <c r="B23" s="10" t="n">
        <v>45123</v>
      </c>
      <c r="C23" s="1" t="s">
        <v>45</v>
      </c>
      <c r="D23" s="1" t="s">
        <v>48</v>
      </c>
      <c r="E23" s="1" t="s">
        <v>47</v>
      </c>
      <c r="F23" s="1" t="n">
        <v>30</v>
      </c>
      <c r="G23" s="11" t="n">
        <v>61591.38</v>
      </c>
      <c r="H23" s="12" t="n">
        <v>2234</v>
      </c>
      <c r="I23" s="13" t="n">
        <v>27.57</v>
      </c>
      <c r="J23" s="12" t="n">
        <v>4560</v>
      </c>
      <c r="K23" s="12" t="n">
        <v>1254</v>
      </c>
    </row>
    <row r="24" customFormat="false" ht="15" hidden="false" customHeight="false" outlineLevel="0" collapsed="false">
      <c r="A24" s="1" t="n">
        <v>4</v>
      </c>
      <c r="B24" s="10" t="n">
        <v>45151</v>
      </c>
      <c r="C24" s="1" t="s">
        <v>45</v>
      </c>
      <c r="D24" s="1" t="s">
        <v>48</v>
      </c>
      <c r="E24" s="1" t="s">
        <v>47</v>
      </c>
      <c r="F24" s="1" t="n">
        <v>30</v>
      </c>
      <c r="G24" s="11" t="n">
        <v>60019.89</v>
      </c>
      <c r="H24" s="12" t="n">
        <v>2177</v>
      </c>
      <c r="I24" s="13" t="n">
        <v>27.57</v>
      </c>
      <c r="J24" s="12" t="n">
        <v>4560</v>
      </c>
      <c r="K24" s="12" t="n">
        <v>1061.11</v>
      </c>
    </row>
    <row r="25" customFormat="false" ht="15" hidden="false" customHeight="false" outlineLevel="0" collapsed="false">
      <c r="A25" s="1" t="n">
        <v>4</v>
      </c>
      <c r="B25" s="10" t="n">
        <v>45179</v>
      </c>
      <c r="C25" s="1" t="s">
        <v>45</v>
      </c>
      <c r="D25" s="1" t="s">
        <v>48</v>
      </c>
      <c r="E25" s="1" t="s">
        <v>47</v>
      </c>
      <c r="F25" s="1" t="n">
        <v>30</v>
      </c>
      <c r="G25" s="11" t="n">
        <v>42816.21</v>
      </c>
      <c r="H25" s="12" t="n">
        <v>1553</v>
      </c>
      <c r="I25" s="13" t="n">
        <v>27.57</v>
      </c>
      <c r="J25" s="12" t="n">
        <v>4559</v>
      </c>
      <c r="K25" s="12" t="n">
        <v>863.93</v>
      </c>
    </row>
    <row r="26" customFormat="false" ht="15" hidden="false" customHeight="false" outlineLevel="0" collapsed="false">
      <c r="A26" s="1" t="n">
        <v>4</v>
      </c>
      <c r="B26" s="10" t="n">
        <v>45207</v>
      </c>
      <c r="C26" s="1" t="s">
        <v>45</v>
      </c>
      <c r="D26" s="1" t="s">
        <v>48</v>
      </c>
      <c r="E26" s="1" t="s">
        <v>47</v>
      </c>
      <c r="F26" s="1" t="n">
        <v>30</v>
      </c>
      <c r="G26" s="11" t="n">
        <v>35565.3</v>
      </c>
      <c r="H26" s="12" t="n">
        <v>1290</v>
      </c>
      <c r="I26" s="13" t="n">
        <v>27.57</v>
      </c>
      <c r="J26" s="12" t="n">
        <v>4558.5</v>
      </c>
      <c r="K26" s="12" t="n">
        <v>732.1</v>
      </c>
    </row>
    <row r="27" customFormat="false" ht="15" hidden="false" customHeight="false" outlineLevel="0" collapsed="false">
      <c r="A27" s="1" t="n">
        <v>4</v>
      </c>
      <c r="B27" s="10" t="n">
        <v>45235</v>
      </c>
      <c r="C27" s="1" t="s">
        <v>45</v>
      </c>
      <c r="D27" s="1" t="s">
        <v>48</v>
      </c>
      <c r="E27" s="1" t="s">
        <v>47</v>
      </c>
      <c r="F27" s="1" t="n">
        <v>30</v>
      </c>
      <c r="G27" s="11" t="n">
        <v>32374.2</v>
      </c>
      <c r="H27" s="12" t="n">
        <v>1185</v>
      </c>
      <c r="I27" s="13" t="n">
        <v>27.32</v>
      </c>
      <c r="J27" s="12" t="n">
        <v>4558</v>
      </c>
      <c r="K27" s="12" t="n">
        <v>660.91</v>
      </c>
    </row>
    <row r="28" customFormat="false" ht="15" hidden="false" customHeight="false" outlineLevel="0" collapsed="false">
      <c r="A28" s="1" t="n">
        <v>4</v>
      </c>
      <c r="B28" s="10" t="n">
        <v>45263</v>
      </c>
      <c r="C28" s="1" t="s">
        <v>45</v>
      </c>
      <c r="D28" s="1" t="s">
        <v>48</v>
      </c>
      <c r="E28" s="1" t="s">
        <v>47</v>
      </c>
      <c r="F28" s="1" t="n">
        <v>30</v>
      </c>
      <c r="G28" s="11" t="n">
        <v>27046.8</v>
      </c>
      <c r="H28" s="12" t="n">
        <v>990</v>
      </c>
      <c r="I28" s="13" t="n">
        <v>27.32</v>
      </c>
      <c r="J28" s="12" t="n">
        <v>4557.5</v>
      </c>
      <c r="K28" s="12" t="n">
        <v>546.9</v>
      </c>
    </row>
    <row r="29" customFormat="false" ht="15" hidden="false" customHeight="false" outlineLevel="0" collapsed="false">
      <c r="A29" s="1" t="n">
        <v>4</v>
      </c>
      <c r="B29" s="10" t="n">
        <v>45291</v>
      </c>
      <c r="C29" s="1" t="s">
        <v>45</v>
      </c>
      <c r="D29" s="1" t="s">
        <v>48</v>
      </c>
      <c r="E29" s="1" t="s">
        <v>47</v>
      </c>
      <c r="F29" s="1" t="n">
        <v>30</v>
      </c>
      <c r="G29" s="11" t="n">
        <v>25243.68</v>
      </c>
      <c r="H29" s="12" t="n">
        <v>924</v>
      </c>
      <c r="I29" s="13" t="n">
        <v>27.32</v>
      </c>
      <c r="J29" s="12" t="n">
        <v>4557</v>
      </c>
      <c r="K29" s="12" t="n">
        <v>539.09</v>
      </c>
    </row>
    <row r="30" customFormat="false" ht="15" hidden="false" customHeight="false" outlineLevel="0" collapsed="false">
      <c r="A30" s="1" t="n">
        <v>4</v>
      </c>
      <c r="B30" s="10" t="n">
        <v>44927</v>
      </c>
      <c r="C30" s="1" t="s">
        <v>49</v>
      </c>
      <c r="D30" s="1" t="s">
        <v>50</v>
      </c>
      <c r="E30" s="1" t="s">
        <v>47</v>
      </c>
      <c r="F30" s="1" t="n">
        <v>30</v>
      </c>
      <c r="G30" s="11" t="n">
        <v>191525.04</v>
      </c>
      <c r="H30" s="12" t="n">
        <v>12906</v>
      </c>
      <c r="I30" s="13" t="n">
        <v>14.84</v>
      </c>
      <c r="J30" s="12" t="n">
        <v>4580</v>
      </c>
      <c r="K30" s="12" t="n">
        <v>3528.89</v>
      </c>
    </row>
    <row r="31" customFormat="false" ht="15" hidden="false" customHeight="false" outlineLevel="0" collapsed="false">
      <c r="A31" s="1" t="n">
        <v>4</v>
      </c>
      <c r="B31" s="10" t="n">
        <v>44955</v>
      </c>
      <c r="C31" s="1" t="s">
        <v>49</v>
      </c>
      <c r="D31" s="1" t="s">
        <v>50</v>
      </c>
      <c r="E31" s="1" t="s">
        <v>47</v>
      </c>
      <c r="F31" s="1" t="n">
        <v>30</v>
      </c>
      <c r="G31" s="11" t="n">
        <v>202791.6</v>
      </c>
      <c r="H31" s="12" t="n">
        <v>13656</v>
      </c>
      <c r="I31" s="13" t="n">
        <v>14.85</v>
      </c>
      <c r="J31" s="12" t="n">
        <v>4580.75</v>
      </c>
      <c r="K31" s="12" t="n">
        <v>3549.62</v>
      </c>
    </row>
    <row r="32" customFormat="false" ht="15" hidden="false" customHeight="false" outlineLevel="0" collapsed="false">
      <c r="A32" s="1" t="n">
        <v>4</v>
      </c>
      <c r="B32" s="10" t="n">
        <v>44983</v>
      </c>
      <c r="C32" s="1" t="s">
        <v>49</v>
      </c>
      <c r="D32" s="1" t="s">
        <v>50</v>
      </c>
      <c r="E32" s="1" t="s">
        <v>47</v>
      </c>
      <c r="F32" s="1" t="n">
        <v>30</v>
      </c>
      <c r="G32" s="11" t="n">
        <v>201628.68</v>
      </c>
      <c r="H32" s="12" t="n">
        <v>13596</v>
      </c>
      <c r="I32" s="13" t="n">
        <v>14.83</v>
      </c>
      <c r="J32" s="12" t="n">
        <v>4579.75</v>
      </c>
      <c r="K32" s="12" t="n">
        <v>3558.92</v>
      </c>
    </row>
    <row r="33" customFormat="false" ht="15" hidden="false" customHeight="false" outlineLevel="0" collapsed="false">
      <c r="A33" s="1" t="n">
        <v>4</v>
      </c>
      <c r="B33" s="10" t="n">
        <v>45011</v>
      </c>
      <c r="C33" s="1" t="s">
        <v>49</v>
      </c>
      <c r="D33" s="1" t="s">
        <v>50</v>
      </c>
      <c r="E33" s="1" t="s">
        <v>47</v>
      </c>
      <c r="F33" s="1" t="n">
        <v>30</v>
      </c>
      <c r="G33" s="11" t="n">
        <v>220968</v>
      </c>
      <c r="H33" s="12" t="n">
        <v>14880</v>
      </c>
      <c r="I33" s="13" t="n">
        <v>14.85</v>
      </c>
      <c r="J33" s="12" t="n">
        <v>4576.5</v>
      </c>
      <c r="K33" s="12" t="n">
        <v>3602.62</v>
      </c>
    </row>
    <row r="34" customFormat="false" ht="15" hidden="false" customHeight="false" outlineLevel="0" collapsed="false">
      <c r="A34" s="1" t="n">
        <v>4</v>
      </c>
      <c r="B34" s="10" t="n">
        <v>45039</v>
      </c>
      <c r="C34" s="1" t="s">
        <v>49</v>
      </c>
      <c r="D34" s="1" t="s">
        <v>50</v>
      </c>
      <c r="E34" s="1" t="s">
        <v>47</v>
      </c>
      <c r="F34" s="1" t="n">
        <v>30</v>
      </c>
      <c r="G34" s="11" t="n">
        <v>226302.94</v>
      </c>
      <c r="H34" s="12" t="n">
        <v>15229</v>
      </c>
      <c r="I34" s="13" t="n">
        <v>14.86</v>
      </c>
      <c r="J34" s="12" t="n">
        <v>4569.25</v>
      </c>
      <c r="K34" s="12" t="n">
        <v>3588.69</v>
      </c>
    </row>
    <row r="35" customFormat="false" ht="15" hidden="false" customHeight="false" outlineLevel="0" collapsed="false">
      <c r="A35" s="1" t="n">
        <v>4</v>
      </c>
      <c r="B35" s="10" t="n">
        <v>45067</v>
      </c>
      <c r="C35" s="1" t="s">
        <v>49</v>
      </c>
      <c r="D35" s="1" t="s">
        <v>50</v>
      </c>
      <c r="E35" s="1" t="s">
        <v>47</v>
      </c>
      <c r="F35" s="1" t="n">
        <v>30</v>
      </c>
      <c r="G35" s="11" t="n">
        <v>229316.29</v>
      </c>
      <c r="H35" s="12" t="n">
        <v>15463</v>
      </c>
      <c r="I35" s="13" t="n">
        <v>14.83</v>
      </c>
      <c r="J35" s="12" t="n">
        <v>4564.5</v>
      </c>
      <c r="K35" s="12" t="n">
        <v>3621.93</v>
      </c>
    </row>
    <row r="36" customFormat="false" ht="15" hidden="false" customHeight="false" outlineLevel="0" collapsed="false">
      <c r="A36" s="1" t="n">
        <v>4</v>
      </c>
      <c r="B36" s="10" t="n">
        <v>45095</v>
      </c>
      <c r="C36" s="1" t="s">
        <v>49</v>
      </c>
      <c r="D36" s="1" t="s">
        <v>50</v>
      </c>
      <c r="E36" s="1" t="s">
        <v>47</v>
      </c>
      <c r="F36" s="1" t="n">
        <v>30</v>
      </c>
      <c r="G36" s="11" t="n">
        <v>242233.32</v>
      </c>
      <c r="H36" s="12" t="n">
        <v>16323</v>
      </c>
      <c r="I36" s="13" t="n">
        <v>14.84</v>
      </c>
      <c r="J36" s="12" t="n">
        <v>4560.75</v>
      </c>
      <c r="K36" s="12" t="n">
        <v>3614.85</v>
      </c>
    </row>
    <row r="37" customFormat="false" ht="15" hidden="false" customHeight="false" outlineLevel="0" collapsed="false">
      <c r="A37" s="1" t="n">
        <v>4</v>
      </c>
      <c r="B37" s="10" t="n">
        <v>45123</v>
      </c>
      <c r="C37" s="1" t="s">
        <v>49</v>
      </c>
      <c r="D37" s="1" t="s">
        <v>50</v>
      </c>
      <c r="E37" s="1" t="s">
        <v>47</v>
      </c>
      <c r="F37" s="1" t="n">
        <v>30</v>
      </c>
      <c r="G37" s="11" t="n">
        <v>249054.4</v>
      </c>
      <c r="H37" s="12" t="n">
        <v>16828</v>
      </c>
      <c r="I37" s="13" t="n">
        <v>14.8</v>
      </c>
      <c r="J37" s="12" t="n">
        <v>4560</v>
      </c>
      <c r="K37" s="12" t="n">
        <v>3900.17</v>
      </c>
    </row>
    <row r="38" customFormat="false" ht="15" hidden="false" customHeight="false" outlineLevel="0" collapsed="false">
      <c r="A38" s="1" t="n">
        <v>4</v>
      </c>
      <c r="B38" s="10" t="n">
        <v>45151</v>
      </c>
      <c r="C38" s="1" t="s">
        <v>49</v>
      </c>
      <c r="D38" s="1" t="s">
        <v>50</v>
      </c>
      <c r="E38" s="1" t="s">
        <v>47</v>
      </c>
      <c r="F38" s="1" t="n">
        <v>30</v>
      </c>
      <c r="G38" s="11" t="n">
        <v>251903.29</v>
      </c>
      <c r="H38" s="12" t="n">
        <v>17009</v>
      </c>
      <c r="I38" s="13" t="n">
        <v>14.81</v>
      </c>
      <c r="J38" s="12" t="n">
        <v>4560</v>
      </c>
      <c r="K38" s="12" t="n">
        <v>4067.06</v>
      </c>
    </row>
    <row r="39" customFormat="false" ht="15" hidden="false" customHeight="false" outlineLevel="0" collapsed="false">
      <c r="A39" s="1" t="n">
        <v>4</v>
      </c>
      <c r="B39" s="10" t="n">
        <v>45179</v>
      </c>
      <c r="C39" s="1" t="s">
        <v>49</v>
      </c>
      <c r="D39" s="1" t="s">
        <v>50</v>
      </c>
      <c r="E39" s="1" t="s">
        <v>47</v>
      </c>
      <c r="F39" s="1" t="n">
        <v>30</v>
      </c>
      <c r="G39" s="11" t="n">
        <v>299832.94</v>
      </c>
      <c r="H39" s="12" t="n">
        <v>20218</v>
      </c>
      <c r="I39" s="13" t="n">
        <v>14.83</v>
      </c>
      <c r="J39" s="12" t="n">
        <v>4559</v>
      </c>
      <c r="K39" s="12" t="n">
        <v>4150.06</v>
      </c>
    </row>
    <row r="40" customFormat="false" ht="15" hidden="false" customHeight="false" outlineLevel="0" collapsed="false">
      <c r="A40" s="1" t="n">
        <v>4</v>
      </c>
      <c r="B40" s="10" t="n">
        <v>45207</v>
      </c>
      <c r="C40" s="1" t="s">
        <v>49</v>
      </c>
      <c r="D40" s="1" t="s">
        <v>50</v>
      </c>
      <c r="E40" s="1" t="s">
        <v>47</v>
      </c>
      <c r="F40" s="1" t="n">
        <v>30</v>
      </c>
      <c r="G40" s="11" t="n">
        <v>331110.45</v>
      </c>
      <c r="H40" s="12" t="n">
        <v>22297</v>
      </c>
      <c r="I40" s="13" t="n">
        <v>14.85</v>
      </c>
      <c r="J40" s="12" t="n">
        <v>4558.5</v>
      </c>
      <c r="K40" s="12" t="n">
        <v>4183.34</v>
      </c>
    </row>
    <row r="41" customFormat="false" ht="15" hidden="false" customHeight="false" outlineLevel="0" collapsed="false">
      <c r="A41" s="1" t="n">
        <v>4</v>
      </c>
      <c r="B41" s="10" t="n">
        <v>45235</v>
      </c>
      <c r="C41" s="1" t="s">
        <v>49</v>
      </c>
      <c r="D41" s="1" t="s">
        <v>50</v>
      </c>
      <c r="E41" s="1" t="s">
        <v>47</v>
      </c>
      <c r="F41" s="1" t="n">
        <v>30</v>
      </c>
      <c r="G41" s="11" t="n">
        <v>312082.52</v>
      </c>
      <c r="H41" s="12" t="n">
        <v>21044</v>
      </c>
      <c r="I41" s="13" t="n">
        <v>14.83</v>
      </c>
      <c r="J41" s="12" t="n">
        <v>4558</v>
      </c>
      <c r="K41" s="12" t="n">
        <v>4155.07</v>
      </c>
    </row>
    <row r="42" customFormat="false" ht="15" hidden="false" customHeight="false" outlineLevel="0" collapsed="false">
      <c r="A42" s="1" t="n">
        <v>4</v>
      </c>
      <c r="B42" s="10" t="n">
        <v>45263</v>
      </c>
      <c r="C42" s="1" t="s">
        <v>49</v>
      </c>
      <c r="D42" s="1" t="s">
        <v>50</v>
      </c>
      <c r="E42" s="1" t="s">
        <v>47</v>
      </c>
      <c r="F42" s="1" t="n">
        <v>30</v>
      </c>
      <c r="G42" s="11" t="n">
        <v>311909.4</v>
      </c>
      <c r="H42" s="12" t="n">
        <v>21004</v>
      </c>
      <c r="I42" s="13" t="n">
        <v>14.85</v>
      </c>
      <c r="J42" s="12" t="n">
        <v>4557.5</v>
      </c>
      <c r="K42" s="12" t="n">
        <v>4207.48</v>
      </c>
    </row>
    <row r="43" customFormat="false" ht="15" hidden="false" customHeight="false" outlineLevel="0" collapsed="false">
      <c r="A43" s="1" t="n">
        <v>4</v>
      </c>
      <c r="B43" s="10" t="n">
        <v>45291</v>
      </c>
      <c r="C43" s="1" t="s">
        <v>49</v>
      </c>
      <c r="D43" s="1" t="s">
        <v>50</v>
      </c>
      <c r="E43" s="1" t="s">
        <v>47</v>
      </c>
      <c r="F43" s="1" t="n">
        <v>30</v>
      </c>
      <c r="G43" s="11" t="n">
        <v>317671.2</v>
      </c>
      <c r="H43" s="12" t="n">
        <v>21392</v>
      </c>
      <c r="I43" s="13" t="n">
        <v>14.85</v>
      </c>
      <c r="J43" s="12" t="n">
        <v>4557</v>
      </c>
      <c r="K43" s="12" t="n">
        <v>4208.85</v>
      </c>
    </row>
    <row r="44" customFormat="false" ht="15" hidden="false" customHeight="false" outlineLevel="0" collapsed="false">
      <c r="A44" s="1" t="n">
        <v>4</v>
      </c>
      <c r="B44" s="10" t="n">
        <v>44927</v>
      </c>
      <c r="C44" s="1" t="s">
        <v>49</v>
      </c>
      <c r="D44" s="1" t="s">
        <v>51</v>
      </c>
      <c r="E44" s="1" t="s">
        <v>52</v>
      </c>
      <c r="F44" s="1" t="n">
        <v>30</v>
      </c>
      <c r="G44" s="11" t="n">
        <v>683180.7</v>
      </c>
      <c r="H44" s="12" t="n">
        <v>24735</v>
      </c>
      <c r="I44" s="13" t="n">
        <v>27.62</v>
      </c>
      <c r="J44" s="12" t="n">
        <v>4580</v>
      </c>
      <c r="K44" s="12" t="n">
        <v>4350.08</v>
      </c>
    </row>
    <row r="45" customFormat="false" ht="15" hidden="false" customHeight="false" outlineLevel="0" collapsed="false">
      <c r="A45" s="1" t="n">
        <v>4</v>
      </c>
      <c r="B45" s="10" t="n">
        <v>44955</v>
      </c>
      <c r="C45" s="1" t="s">
        <v>49</v>
      </c>
      <c r="D45" s="1" t="s">
        <v>51</v>
      </c>
      <c r="E45" s="1" t="s">
        <v>52</v>
      </c>
      <c r="F45" s="1" t="n">
        <v>30</v>
      </c>
      <c r="G45" s="11" t="n">
        <v>764467.12</v>
      </c>
      <c r="H45" s="12" t="n">
        <v>27658</v>
      </c>
      <c r="I45" s="13" t="n">
        <v>27.64</v>
      </c>
      <c r="J45" s="12" t="n">
        <v>4580.75</v>
      </c>
      <c r="K45" s="12" t="n">
        <v>4354.92</v>
      </c>
    </row>
    <row r="46" customFormat="false" ht="15" hidden="false" customHeight="false" outlineLevel="0" collapsed="false">
      <c r="A46" s="1" t="n">
        <v>4</v>
      </c>
      <c r="B46" s="10" t="n">
        <v>44983</v>
      </c>
      <c r="C46" s="1" t="s">
        <v>49</v>
      </c>
      <c r="D46" s="1" t="s">
        <v>51</v>
      </c>
      <c r="E46" s="1" t="s">
        <v>52</v>
      </c>
      <c r="F46" s="1" t="n">
        <v>30</v>
      </c>
      <c r="G46" s="11" t="n">
        <v>792230.4</v>
      </c>
      <c r="H46" s="12" t="n">
        <v>28704</v>
      </c>
      <c r="I46" s="13" t="n">
        <v>27.6</v>
      </c>
      <c r="J46" s="12" t="n">
        <v>4579.75</v>
      </c>
      <c r="K46" s="12" t="n">
        <v>4372.75</v>
      </c>
    </row>
    <row r="47" customFormat="false" ht="15" hidden="false" customHeight="false" outlineLevel="0" collapsed="false">
      <c r="A47" s="1" t="n">
        <v>4</v>
      </c>
      <c r="B47" s="10" t="n">
        <v>45011</v>
      </c>
      <c r="C47" s="1" t="s">
        <v>49</v>
      </c>
      <c r="D47" s="1" t="s">
        <v>51</v>
      </c>
      <c r="E47" s="1" t="s">
        <v>52</v>
      </c>
      <c r="F47" s="1" t="n">
        <v>30</v>
      </c>
      <c r="G47" s="11" t="n">
        <v>795516.3</v>
      </c>
      <c r="H47" s="12" t="n">
        <v>28719</v>
      </c>
      <c r="I47" s="13" t="n">
        <v>27.7</v>
      </c>
      <c r="J47" s="12" t="n">
        <v>4576.5</v>
      </c>
      <c r="K47" s="12" t="n">
        <v>4410.37</v>
      </c>
    </row>
    <row r="48" customFormat="false" ht="15" hidden="false" customHeight="false" outlineLevel="0" collapsed="false">
      <c r="A48" s="1" t="n">
        <v>4</v>
      </c>
      <c r="B48" s="10" t="n">
        <v>45039</v>
      </c>
      <c r="C48" s="1" t="s">
        <v>49</v>
      </c>
      <c r="D48" s="1" t="s">
        <v>51</v>
      </c>
      <c r="E48" s="1" t="s">
        <v>52</v>
      </c>
      <c r="F48" s="1" t="n">
        <v>30</v>
      </c>
      <c r="G48" s="11" t="n">
        <v>761446.8</v>
      </c>
      <c r="H48" s="12" t="n">
        <v>27292</v>
      </c>
      <c r="I48" s="13" t="n">
        <v>27.9</v>
      </c>
      <c r="J48" s="12" t="n">
        <v>4569.25</v>
      </c>
      <c r="K48" s="12" t="n">
        <v>4391.51</v>
      </c>
    </row>
    <row r="49" customFormat="false" ht="15" hidden="false" customHeight="false" outlineLevel="0" collapsed="false">
      <c r="A49" s="1" t="n">
        <v>4</v>
      </c>
      <c r="B49" s="10" t="n">
        <v>45067</v>
      </c>
      <c r="C49" s="1" t="s">
        <v>49</v>
      </c>
      <c r="D49" s="1" t="s">
        <v>51</v>
      </c>
      <c r="E49" s="1" t="s">
        <v>52</v>
      </c>
      <c r="F49" s="1" t="n">
        <v>30</v>
      </c>
      <c r="G49" s="11" t="n">
        <v>772606.5</v>
      </c>
      <c r="H49" s="12" t="n">
        <v>27109</v>
      </c>
      <c r="I49" s="13" t="n">
        <v>28.5</v>
      </c>
      <c r="J49" s="12" t="n">
        <v>4564.5</v>
      </c>
      <c r="K49" s="12" t="n">
        <v>4371.42</v>
      </c>
    </row>
    <row r="50" customFormat="false" ht="15" hidden="false" customHeight="false" outlineLevel="0" collapsed="false">
      <c r="A50" s="1" t="n">
        <v>4</v>
      </c>
      <c r="B50" s="10" t="n">
        <v>45095</v>
      </c>
      <c r="C50" s="1" t="s">
        <v>49</v>
      </c>
      <c r="D50" s="1" t="s">
        <v>51</v>
      </c>
      <c r="E50" s="1" t="s">
        <v>52</v>
      </c>
      <c r="F50" s="1" t="n">
        <v>30</v>
      </c>
      <c r="G50" s="11" t="n">
        <v>798506</v>
      </c>
      <c r="H50" s="12" t="n">
        <v>27068</v>
      </c>
      <c r="I50" s="13" t="n">
        <v>29.5</v>
      </c>
      <c r="J50" s="12" t="n">
        <v>4560.75</v>
      </c>
      <c r="K50" s="12" t="n">
        <v>4371.93</v>
      </c>
    </row>
    <row r="51" customFormat="false" ht="15" hidden="false" customHeight="false" outlineLevel="0" collapsed="false">
      <c r="A51" s="1" t="n">
        <v>4</v>
      </c>
      <c r="B51" s="10" t="n">
        <v>45123</v>
      </c>
      <c r="C51" s="1" t="s">
        <v>49</v>
      </c>
      <c r="D51" s="1" t="s">
        <v>51</v>
      </c>
      <c r="E51" s="1" t="s">
        <v>52</v>
      </c>
      <c r="F51" s="1" t="n">
        <v>30</v>
      </c>
      <c r="G51" s="11" t="n">
        <v>557975.2</v>
      </c>
      <c r="H51" s="12" t="n">
        <v>18724</v>
      </c>
      <c r="I51" s="13" t="n">
        <v>29.8</v>
      </c>
      <c r="J51" s="12" t="n">
        <v>4560</v>
      </c>
      <c r="K51" s="12" t="n">
        <v>4363.92</v>
      </c>
    </row>
    <row r="52" customFormat="false" ht="15" hidden="false" customHeight="false" outlineLevel="0" collapsed="false">
      <c r="A52" s="1" t="n">
        <v>4</v>
      </c>
      <c r="B52" s="10" t="n">
        <v>45151</v>
      </c>
      <c r="C52" s="1" t="s">
        <v>49</v>
      </c>
      <c r="D52" s="1" t="s">
        <v>51</v>
      </c>
      <c r="E52" s="1" t="s">
        <v>52</v>
      </c>
      <c r="F52" s="1" t="n">
        <v>30</v>
      </c>
      <c r="G52" s="11" t="n">
        <v>501620.28</v>
      </c>
      <c r="H52" s="12" t="n">
        <v>16743</v>
      </c>
      <c r="I52" s="13" t="n">
        <v>29.96</v>
      </c>
      <c r="J52" s="12" t="n">
        <v>4560</v>
      </c>
      <c r="K52" s="12" t="n">
        <v>4368.94</v>
      </c>
    </row>
    <row r="53" customFormat="false" ht="15" hidden="false" customHeight="false" outlineLevel="0" collapsed="false">
      <c r="A53" s="1" t="n">
        <v>4</v>
      </c>
      <c r="B53" s="10" t="n">
        <v>45179</v>
      </c>
      <c r="C53" s="1" t="s">
        <v>49</v>
      </c>
      <c r="D53" s="1" t="s">
        <v>51</v>
      </c>
      <c r="E53" s="1" t="s">
        <v>52</v>
      </c>
      <c r="F53" s="1" t="n">
        <v>30</v>
      </c>
      <c r="G53" s="11" t="n">
        <v>357120.92</v>
      </c>
      <c r="H53" s="12" t="n">
        <v>11908</v>
      </c>
      <c r="I53" s="13" t="n">
        <v>29.99</v>
      </c>
      <c r="J53" s="12" t="n">
        <v>4559</v>
      </c>
      <c r="K53" s="12" t="n">
        <v>4371.42</v>
      </c>
    </row>
    <row r="54" customFormat="false" ht="15" hidden="false" customHeight="false" outlineLevel="0" collapsed="false">
      <c r="A54" s="1" t="n">
        <v>4</v>
      </c>
      <c r="B54" s="10" t="n">
        <v>45207</v>
      </c>
      <c r="C54" s="1" t="s">
        <v>49</v>
      </c>
      <c r="D54" s="1" t="s">
        <v>51</v>
      </c>
      <c r="E54" s="1" t="s">
        <v>52</v>
      </c>
      <c r="F54" s="1" t="n">
        <v>30</v>
      </c>
      <c r="G54" s="11" t="n">
        <v>405164.43</v>
      </c>
      <c r="H54" s="12" t="n">
        <v>13519</v>
      </c>
      <c r="I54" s="13" t="n">
        <v>29.97</v>
      </c>
      <c r="J54" s="12" t="n">
        <v>4558.5</v>
      </c>
      <c r="K54" s="12" t="n">
        <v>4371.93</v>
      </c>
    </row>
    <row r="55" customFormat="false" ht="15" hidden="false" customHeight="false" outlineLevel="0" collapsed="false">
      <c r="A55" s="1" t="n">
        <v>4</v>
      </c>
      <c r="B55" s="10" t="n">
        <v>45235</v>
      </c>
      <c r="C55" s="1" t="s">
        <v>49</v>
      </c>
      <c r="D55" s="1" t="s">
        <v>51</v>
      </c>
      <c r="E55" s="1" t="s">
        <v>52</v>
      </c>
      <c r="F55" s="1" t="n">
        <v>30</v>
      </c>
      <c r="G55" s="11" t="n">
        <v>423193.5</v>
      </c>
      <c r="H55" s="12" t="n">
        <v>14130</v>
      </c>
      <c r="I55" s="13" t="n">
        <v>29.95</v>
      </c>
      <c r="J55" s="12" t="n">
        <v>4558</v>
      </c>
      <c r="K55" s="12" t="n">
        <v>4374.89</v>
      </c>
    </row>
    <row r="56" customFormat="false" ht="15" hidden="false" customHeight="false" outlineLevel="0" collapsed="false">
      <c r="A56" s="1" t="n">
        <v>4</v>
      </c>
      <c r="B56" s="10" t="n">
        <v>45263</v>
      </c>
      <c r="C56" s="1" t="s">
        <v>49</v>
      </c>
      <c r="D56" s="1" t="s">
        <v>51</v>
      </c>
      <c r="E56" s="1" t="s">
        <v>52</v>
      </c>
      <c r="F56" s="1" t="n">
        <v>30</v>
      </c>
      <c r="G56" s="11" t="n">
        <v>240548.84</v>
      </c>
      <c r="H56" s="12" t="n">
        <v>8029</v>
      </c>
      <c r="I56" s="13" t="n">
        <v>29.96</v>
      </c>
      <c r="J56" s="12" t="n">
        <v>4557.5</v>
      </c>
      <c r="K56" s="12" t="n">
        <v>4391.51</v>
      </c>
    </row>
    <row r="57" customFormat="false" ht="15" hidden="false" customHeight="false" outlineLevel="0" collapsed="false">
      <c r="A57" s="1" t="n">
        <v>4</v>
      </c>
      <c r="B57" s="10" t="n">
        <v>45291</v>
      </c>
      <c r="C57" s="1" t="s">
        <v>49</v>
      </c>
      <c r="D57" s="1" t="s">
        <v>51</v>
      </c>
      <c r="E57" s="1" t="s">
        <v>52</v>
      </c>
      <c r="F57" s="1" t="n">
        <v>30</v>
      </c>
      <c r="G57" s="11" t="n">
        <v>132213.48</v>
      </c>
      <c r="H57" s="12" t="n">
        <v>4413</v>
      </c>
      <c r="I57" s="13" t="n">
        <v>29.96</v>
      </c>
      <c r="J57" s="12" t="n">
        <v>4557</v>
      </c>
      <c r="K57" s="12" t="n">
        <v>4372.75</v>
      </c>
    </row>
    <row r="58" customFormat="false" ht="15" hidden="false" customHeight="false" outlineLevel="0" collapsed="false">
      <c r="A58" s="1" t="n">
        <v>4</v>
      </c>
      <c r="B58" s="10" t="n">
        <v>44927</v>
      </c>
      <c r="C58" s="1" t="s">
        <v>53</v>
      </c>
      <c r="D58" s="1" t="s">
        <v>54</v>
      </c>
      <c r="E58" s="1" t="s">
        <v>52</v>
      </c>
      <c r="F58" s="1" t="n">
        <v>60</v>
      </c>
      <c r="G58" s="11" t="n">
        <v>193900.76</v>
      </c>
      <c r="H58" s="12" t="n">
        <v>13588</v>
      </c>
      <c r="I58" s="13" t="n">
        <v>14.27</v>
      </c>
      <c r="J58" s="12" t="n">
        <v>4580</v>
      </c>
      <c r="K58" s="12" t="n">
        <v>3959.87</v>
      </c>
    </row>
    <row r="59" customFormat="false" ht="15" hidden="false" customHeight="false" outlineLevel="0" collapsed="false">
      <c r="A59" s="1" t="n">
        <v>4</v>
      </c>
      <c r="B59" s="10" t="n">
        <v>44955</v>
      </c>
      <c r="C59" s="1" t="s">
        <v>53</v>
      </c>
      <c r="D59" s="1" t="s">
        <v>54</v>
      </c>
      <c r="E59" s="1" t="s">
        <v>52</v>
      </c>
      <c r="F59" s="1" t="n">
        <v>60</v>
      </c>
      <c r="G59" s="11" t="n">
        <v>215443.8</v>
      </c>
      <c r="H59" s="12" t="n">
        <v>15066</v>
      </c>
      <c r="I59" s="13" t="n">
        <v>14.3</v>
      </c>
      <c r="J59" s="12" t="n">
        <v>4580.75</v>
      </c>
      <c r="K59" s="12" t="n">
        <v>4094.73</v>
      </c>
    </row>
    <row r="60" customFormat="false" ht="15" hidden="false" customHeight="false" outlineLevel="0" collapsed="false">
      <c r="A60" s="1" t="n">
        <v>4</v>
      </c>
      <c r="B60" s="10" t="n">
        <v>44983</v>
      </c>
      <c r="C60" s="1" t="s">
        <v>53</v>
      </c>
      <c r="D60" s="1" t="s">
        <v>54</v>
      </c>
      <c r="E60" s="1" t="s">
        <v>52</v>
      </c>
      <c r="F60" s="1" t="n">
        <v>60</v>
      </c>
      <c r="G60" s="11" t="n">
        <v>207364.3</v>
      </c>
      <c r="H60" s="12" t="n">
        <v>14501</v>
      </c>
      <c r="I60" s="13" t="n">
        <v>14.3</v>
      </c>
      <c r="J60" s="12" t="n">
        <v>4579.75</v>
      </c>
      <c r="K60" s="12" t="n">
        <v>4056.74</v>
      </c>
    </row>
    <row r="61" customFormat="false" ht="15" hidden="false" customHeight="false" outlineLevel="0" collapsed="false">
      <c r="A61" s="1" t="n">
        <v>4</v>
      </c>
      <c r="B61" s="10" t="n">
        <v>45011</v>
      </c>
      <c r="C61" s="1" t="s">
        <v>53</v>
      </c>
      <c r="D61" s="1" t="s">
        <v>54</v>
      </c>
      <c r="E61" s="1" t="s">
        <v>52</v>
      </c>
      <c r="F61" s="1" t="n">
        <v>60</v>
      </c>
      <c r="G61" s="11" t="n">
        <v>200494.32</v>
      </c>
      <c r="H61" s="12" t="n">
        <v>13962</v>
      </c>
      <c r="I61" s="13" t="n">
        <v>14.36</v>
      </c>
      <c r="J61" s="12" t="n">
        <v>4576.5</v>
      </c>
      <c r="K61" s="12" t="n">
        <v>4099.63</v>
      </c>
    </row>
    <row r="62" customFormat="false" ht="15" hidden="false" customHeight="false" outlineLevel="0" collapsed="false">
      <c r="A62" s="1" t="n">
        <v>4</v>
      </c>
      <c r="B62" s="10" t="n">
        <v>45039</v>
      </c>
      <c r="C62" s="1" t="s">
        <v>53</v>
      </c>
      <c r="D62" s="1" t="s">
        <v>54</v>
      </c>
      <c r="E62" s="1" t="s">
        <v>52</v>
      </c>
      <c r="F62" s="1" t="n">
        <v>60</v>
      </c>
      <c r="G62" s="11" t="n">
        <v>216632.96</v>
      </c>
      <c r="H62" s="12" t="n">
        <v>15128</v>
      </c>
      <c r="I62" s="13" t="n">
        <v>14.32</v>
      </c>
      <c r="J62" s="12" t="n">
        <v>4569.25</v>
      </c>
      <c r="K62" s="12" t="n">
        <v>4112.32</v>
      </c>
    </row>
    <row r="63" customFormat="false" ht="15" hidden="false" customHeight="false" outlineLevel="0" collapsed="false">
      <c r="A63" s="1" t="n">
        <v>4</v>
      </c>
      <c r="B63" s="10" t="n">
        <v>45067</v>
      </c>
      <c r="C63" s="1" t="s">
        <v>53</v>
      </c>
      <c r="D63" s="1" t="s">
        <v>54</v>
      </c>
      <c r="E63" s="1" t="s">
        <v>52</v>
      </c>
      <c r="F63" s="1" t="n">
        <v>60</v>
      </c>
      <c r="G63" s="11" t="n">
        <v>223931.75</v>
      </c>
      <c r="H63" s="12" t="n">
        <v>15605</v>
      </c>
      <c r="I63" s="13" t="n">
        <v>14.35</v>
      </c>
      <c r="J63" s="12" t="n">
        <v>4564.5</v>
      </c>
      <c r="K63" s="12" t="n">
        <v>4140</v>
      </c>
    </row>
    <row r="64" customFormat="false" ht="15" hidden="false" customHeight="false" outlineLevel="0" collapsed="false">
      <c r="A64" s="1" t="n">
        <v>4</v>
      </c>
      <c r="B64" s="10" t="n">
        <v>45095</v>
      </c>
      <c r="C64" s="1" t="s">
        <v>53</v>
      </c>
      <c r="D64" s="1" t="s">
        <v>54</v>
      </c>
      <c r="E64" s="1" t="s">
        <v>52</v>
      </c>
      <c r="F64" s="1" t="n">
        <v>60</v>
      </c>
      <c r="G64" s="11" t="n">
        <v>211432.9</v>
      </c>
      <c r="H64" s="12" t="n">
        <v>14734</v>
      </c>
      <c r="I64" s="13" t="n">
        <v>14.35</v>
      </c>
      <c r="J64" s="12" t="n">
        <v>4560.75</v>
      </c>
      <c r="K64" s="12" t="n">
        <v>4053.59</v>
      </c>
    </row>
    <row r="65" customFormat="false" ht="15" hidden="false" customHeight="false" outlineLevel="0" collapsed="false">
      <c r="A65" s="1" t="n">
        <v>4</v>
      </c>
      <c r="B65" s="10" t="n">
        <v>45123</v>
      </c>
      <c r="C65" s="1" t="s">
        <v>53</v>
      </c>
      <c r="D65" s="1" t="s">
        <v>54</v>
      </c>
      <c r="E65" s="1" t="s">
        <v>52</v>
      </c>
      <c r="F65" s="1" t="n">
        <v>60</v>
      </c>
      <c r="G65" s="11" t="n">
        <v>256986.56</v>
      </c>
      <c r="H65" s="12" t="n">
        <v>17896</v>
      </c>
      <c r="I65" s="13" t="n">
        <v>14.36</v>
      </c>
      <c r="J65" s="12" t="n">
        <v>4560</v>
      </c>
      <c r="K65" s="12" t="n">
        <v>4207.97</v>
      </c>
    </row>
    <row r="66" customFormat="false" ht="15" hidden="false" customHeight="false" outlineLevel="0" collapsed="false">
      <c r="A66" s="1" t="n">
        <v>4</v>
      </c>
      <c r="B66" s="10" t="n">
        <v>45151</v>
      </c>
      <c r="C66" s="1" t="s">
        <v>53</v>
      </c>
      <c r="D66" s="1" t="s">
        <v>54</v>
      </c>
      <c r="E66" s="1" t="s">
        <v>52</v>
      </c>
      <c r="F66" s="1" t="n">
        <v>60</v>
      </c>
      <c r="G66" s="11" t="n">
        <v>214527.92</v>
      </c>
      <c r="H66" s="12" t="n">
        <v>14981</v>
      </c>
      <c r="I66" s="13" t="n">
        <v>14.32</v>
      </c>
      <c r="J66" s="12" t="n">
        <v>4560</v>
      </c>
      <c r="K66" s="12" t="n">
        <v>4139.11</v>
      </c>
    </row>
    <row r="67" customFormat="false" ht="15" hidden="false" customHeight="false" outlineLevel="0" collapsed="false">
      <c r="A67" s="1" t="n">
        <v>4</v>
      </c>
      <c r="B67" s="10" t="n">
        <v>45179</v>
      </c>
      <c r="C67" s="1" t="s">
        <v>53</v>
      </c>
      <c r="D67" s="1" t="s">
        <v>54</v>
      </c>
      <c r="E67" s="1" t="s">
        <v>52</v>
      </c>
      <c r="F67" s="1" t="n">
        <v>60</v>
      </c>
      <c r="G67" s="11" t="n">
        <v>222927.25</v>
      </c>
      <c r="H67" s="12" t="n">
        <v>15535</v>
      </c>
      <c r="I67" s="13" t="n">
        <v>14.35</v>
      </c>
      <c r="J67" s="12" t="n">
        <v>4559</v>
      </c>
      <c r="K67" s="12" t="n">
        <v>4112.22</v>
      </c>
    </row>
    <row r="68" customFormat="false" ht="15" hidden="false" customHeight="false" outlineLevel="0" collapsed="false">
      <c r="A68" s="1" t="n">
        <v>4</v>
      </c>
      <c r="B68" s="10" t="n">
        <v>45207</v>
      </c>
      <c r="C68" s="1" t="s">
        <v>53</v>
      </c>
      <c r="D68" s="1" t="s">
        <v>54</v>
      </c>
      <c r="E68" s="1" t="s">
        <v>52</v>
      </c>
      <c r="F68" s="1" t="n">
        <v>60</v>
      </c>
      <c r="G68" s="11" t="n">
        <v>205793.16</v>
      </c>
      <c r="H68" s="12" t="n">
        <v>14331</v>
      </c>
      <c r="I68" s="13" t="n">
        <v>14.36</v>
      </c>
      <c r="J68" s="12" t="n">
        <v>4558.5</v>
      </c>
      <c r="K68" s="12" t="n">
        <v>4033.36</v>
      </c>
    </row>
    <row r="69" customFormat="false" ht="15" hidden="false" customHeight="false" outlineLevel="0" collapsed="false">
      <c r="A69" s="1" t="n">
        <v>4</v>
      </c>
      <c r="B69" s="10" t="n">
        <v>45235</v>
      </c>
      <c r="C69" s="1" t="s">
        <v>53</v>
      </c>
      <c r="D69" s="1" t="s">
        <v>54</v>
      </c>
      <c r="E69" s="1" t="s">
        <v>52</v>
      </c>
      <c r="F69" s="1" t="n">
        <v>60</v>
      </c>
      <c r="G69" s="11" t="n">
        <v>161982.8</v>
      </c>
      <c r="H69" s="12" t="n">
        <v>11288</v>
      </c>
      <c r="I69" s="13" t="n">
        <v>14.35</v>
      </c>
      <c r="J69" s="12" t="n">
        <v>4558</v>
      </c>
      <c r="K69" s="12" t="n">
        <v>3815.05</v>
      </c>
    </row>
    <row r="70" customFormat="false" ht="15" hidden="false" customHeight="false" outlineLevel="0" collapsed="false">
      <c r="A70" s="1" t="n">
        <v>4</v>
      </c>
      <c r="B70" s="10" t="n">
        <v>45263</v>
      </c>
      <c r="C70" s="1" t="s">
        <v>53</v>
      </c>
      <c r="D70" s="1" t="s">
        <v>54</v>
      </c>
      <c r="E70" s="1" t="s">
        <v>52</v>
      </c>
      <c r="F70" s="1" t="n">
        <v>60</v>
      </c>
      <c r="G70" s="11" t="n">
        <v>141404.9</v>
      </c>
      <c r="H70" s="12" t="n">
        <v>9854</v>
      </c>
      <c r="I70" s="13" t="n">
        <v>14.35</v>
      </c>
      <c r="J70" s="12" t="n">
        <v>4557.5</v>
      </c>
      <c r="K70" s="12" t="n">
        <v>3672.43</v>
      </c>
    </row>
    <row r="71" customFormat="false" ht="15" hidden="false" customHeight="false" outlineLevel="0" collapsed="false">
      <c r="A71" s="1" t="n">
        <v>4</v>
      </c>
      <c r="B71" s="10" t="n">
        <v>45291</v>
      </c>
      <c r="C71" s="1" t="s">
        <v>53</v>
      </c>
      <c r="D71" s="1" t="s">
        <v>54</v>
      </c>
      <c r="E71" s="1" t="s">
        <v>52</v>
      </c>
      <c r="F71" s="1" t="n">
        <v>60</v>
      </c>
      <c r="G71" s="11" t="n">
        <v>140121.2</v>
      </c>
      <c r="H71" s="12" t="n">
        <v>9785</v>
      </c>
      <c r="I71" s="13" t="n">
        <v>14.32</v>
      </c>
      <c r="J71" s="12" t="n">
        <v>4557</v>
      </c>
      <c r="K71" s="12" t="n">
        <v>3631.02</v>
      </c>
    </row>
    <row r="72" customFormat="false" ht="15" hidden="false" customHeight="false" outlineLevel="0" collapsed="false">
      <c r="A72" s="1" t="n">
        <v>4</v>
      </c>
      <c r="B72" s="10" t="n">
        <v>44927</v>
      </c>
      <c r="C72" s="1" t="s">
        <v>53</v>
      </c>
      <c r="D72" s="1" t="s">
        <v>55</v>
      </c>
      <c r="E72" s="1" t="s">
        <v>47</v>
      </c>
      <c r="F72" s="1" t="n">
        <v>30</v>
      </c>
      <c r="G72" s="11" t="n">
        <v>461616.81</v>
      </c>
      <c r="H72" s="12" t="n">
        <v>32079</v>
      </c>
      <c r="I72" s="13" t="n">
        <v>14.39</v>
      </c>
      <c r="J72" s="12" t="n">
        <v>4580</v>
      </c>
      <c r="K72" s="12" t="n">
        <v>4441.23</v>
      </c>
    </row>
    <row r="73" customFormat="false" ht="15" hidden="false" customHeight="false" outlineLevel="0" collapsed="false">
      <c r="A73" s="1" t="n">
        <v>4</v>
      </c>
      <c r="B73" s="10" t="n">
        <v>44955</v>
      </c>
      <c r="C73" s="1" t="s">
        <v>53</v>
      </c>
      <c r="D73" s="1" t="s">
        <v>55</v>
      </c>
      <c r="E73" s="1" t="s">
        <v>47</v>
      </c>
      <c r="F73" s="1" t="n">
        <v>30</v>
      </c>
      <c r="G73" s="11" t="n">
        <v>486489.6</v>
      </c>
      <c r="H73" s="12" t="n">
        <v>33784</v>
      </c>
      <c r="I73" s="13" t="n">
        <v>14.4</v>
      </c>
      <c r="J73" s="12" t="n">
        <v>4580.75</v>
      </c>
      <c r="K73" s="12" t="n">
        <v>4466.69</v>
      </c>
    </row>
    <row r="74" customFormat="false" ht="15" hidden="false" customHeight="false" outlineLevel="0" collapsed="false">
      <c r="A74" s="1" t="n">
        <v>4</v>
      </c>
      <c r="B74" s="10" t="n">
        <v>44983</v>
      </c>
      <c r="C74" s="1" t="s">
        <v>53</v>
      </c>
      <c r="D74" s="1" t="s">
        <v>55</v>
      </c>
      <c r="E74" s="1" t="s">
        <v>47</v>
      </c>
      <c r="F74" s="1" t="n">
        <v>30</v>
      </c>
      <c r="G74" s="11" t="n">
        <v>477993.6</v>
      </c>
      <c r="H74" s="12" t="n">
        <v>33194</v>
      </c>
      <c r="I74" s="13" t="n">
        <v>14.4</v>
      </c>
      <c r="J74" s="12" t="n">
        <v>4579.75</v>
      </c>
      <c r="K74" s="12" t="n">
        <v>4471.67</v>
      </c>
    </row>
    <row r="75" customFormat="false" ht="15" hidden="false" customHeight="false" outlineLevel="0" collapsed="false">
      <c r="A75" s="1" t="n">
        <v>4</v>
      </c>
      <c r="B75" s="10" t="n">
        <v>45011</v>
      </c>
      <c r="C75" s="1" t="s">
        <v>53</v>
      </c>
      <c r="D75" s="1" t="s">
        <v>55</v>
      </c>
      <c r="E75" s="1" t="s">
        <v>47</v>
      </c>
      <c r="F75" s="1" t="n">
        <v>30</v>
      </c>
      <c r="G75" s="11" t="n">
        <v>493920</v>
      </c>
      <c r="H75" s="12" t="n">
        <v>34300</v>
      </c>
      <c r="I75" s="13" t="n">
        <v>14.4</v>
      </c>
      <c r="J75" s="12" t="n">
        <v>4576.5</v>
      </c>
      <c r="K75" s="12" t="n">
        <v>4474.44</v>
      </c>
    </row>
    <row r="76" customFormat="false" ht="15" hidden="false" customHeight="false" outlineLevel="0" collapsed="false">
      <c r="A76" s="1" t="n">
        <v>4</v>
      </c>
      <c r="B76" s="10" t="n">
        <v>45039</v>
      </c>
      <c r="C76" s="1" t="s">
        <v>53</v>
      </c>
      <c r="D76" s="1" t="s">
        <v>55</v>
      </c>
      <c r="E76" s="1" t="s">
        <v>47</v>
      </c>
      <c r="F76" s="1" t="n">
        <v>30</v>
      </c>
      <c r="G76" s="11" t="n">
        <v>500644.8</v>
      </c>
      <c r="H76" s="12" t="n">
        <v>34767</v>
      </c>
      <c r="I76" s="13" t="n">
        <v>14.4</v>
      </c>
      <c r="J76" s="12" t="n">
        <v>4569.25</v>
      </c>
      <c r="K76" s="12" t="n">
        <v>4485.18</v>
      </c>
    </row>
    <row r="77" customFormat="false" ht="15" hidden="false" customHeight="false" outlineLevel="0" collapsed="false">
      <c r="A77" s="1" t="n">
        <v>4</v>
      </c>
      <c r="B77" s="10" t="n">
        <v>45067</v>
      </c>
      <c r="C77" s="1" t="s">
        <v>53</v>
      </c>
      <c r="D77" s="1" t="s">
        <v>55</v>
      </c>
      <c r="E77" s="1" t="s">
        <v>47</v>
      </c>
      <c r="F77" s="1" t="n">
        <v>30</v>
      </c>
      <c r="G77" s="11" t="n">
        <v>491155.2</v>
      </c>
      <c r="H77" s="12" t="n">
        <v>34108</v>
      </c>
      <c r="I77" s="13" t="n">
        <v>14.4</v>
      </c>
      <c r="J77" s="12" t="n">
        <v>4564.5</v>
      </c>
      <c r="K77" s="12" t="n">
        <v>4437.61</v>
      </c>
    </row>
    <row r="78" customFormat="false" ht="15" hidden="false" customHeight="false" outlineLevel="0" collapsed="false">
      <c r="A78" s="1" t="n">
        <v>4</v>
      </c>
      <c r="B78" s="10" t="n">
        <v>45095</v>
      </c>
      <c r="C78" s="1" t="s">
        <v>53</v>
      </c>
      <c r="D78" s="1" t="s">
        <v>55</v>
      </c>
      <c r="E78" s="1" t="s">
        <v>47</v>
      </c>
      <c r="F78" s="1" t="n">
        <v>30</v>
      </c>
      <c r="G78" s="11" t="n">
        <v>454680</v>
      </c>
      <c r="H78" s="12" t="n">
        <v>31575</v>
      </c>
      <c r="I78" s="13" t="n">
        <v>14.4</v>
      </c>
      <c r="J78" s="12" t="n">
        <v>4560.75</v>
      </c>
      <c r="K78" s="12" t="n">
        <v>4433.96</v>
      </c>
    </row>
    <row r="79" customFormat="false" ht="15" hidden="false" customHeight="false" outlineLevel="0" collapsed="false">
      <c r="A79" s="1" t="n">
        <v>4</v>
      </c>
      <c r="B79" s="10" t="n">
        <v>45123</v>
      </c>
      <c r="C79" s="1" t="s">
        <v>53</v>
      </c>
      <c r="D79" s="1" t="s">
        <v>55</v>
      </c>
      <c r="E79" s="1" t="s">
        <v>47</v>
      </c>
      <c r="F79" s="1" t="n">
        <v>30</v>
      </c>
      <c r="G79" s="11" t="n">
        <v>446875.8</v>
      </c>
      <c r="H79" s="12" t="n">
        <v>30990</v>
      </c>
      <c r="I79" s="13" t="n">
        <v>14.42</v>
      </c>
      <c r="J79" s="12" t="n">
        <v>4560</v>
      </c>
      <c r="K79" s="12" t="n">
        <v>4442.81</v>
      </c>
    </row>
    <row r="80" customFormat="false" ht="15" hidden="false" customHeight="false" outlineLevel="0" collapsed="false">
      <c r="A80" s="1" t="n">
        <v>4</v>
      </c>
      <c r="B80" s="10" t="n">
        <v>45151</v>
      </c>
      <c r="C80" s="1" t="s">
        <v>53</v>
      </c>
      <c r="D80" s="1" t="s">
        <v>55</v>
      </c>
      <c r="E80" s="1" t="s">
        <v>47</v>
      </c>
      <c r="F80" s="1" t="n">
        <v>30</v>
      </c>
      <c r="G80" s="11" t="n">
        <v>437891.08</v>
      </c>
      <c r="H80" s="12" t="n">
        <v>30388</v>
      </c>
      <c r="I80" s="13" t="n">
        <v>14.41</v>
      </c>
      <c r="J80" s="12" t="n">
        <v>4560</v>
      </c>
      <c r="K80" s="12" t="n">
        <v>4437.79</v>
      </c>
    </row>
    <row r="81" customFormat="false" ht="15" hidden="false" customHeight="false" outlineLevel="0" collapsed="false">
      <c r="A81" s="1" t="n">
        <v>4</v>
      </c>
      <c r="B81" s="10" t="n">
        <v>45179</v>
      </c>
      <c r="C81" s="1" t="s">
        <v>53</v>
      </c>
      <c r="D81" s="1" t="s">
        <v>55</v>
      </c>
      <c r="E81" s="1" t="s">
        <v>47</v>
      </c>
      <c r="F81" s="1" t="n">
        <v>30</v>
      </c>
      <c r="G81" s="11" t="n">
        <v>548133.04</v>
      </c>
      <c r="H81" s="12" t="n">
        <v>38012</v>
      </c>
      <c r="I81" s="13" t="n">
        <v>14.42</v>
      </c>
      <c r="J81" s="12" t="n">
        <v>4559</v>
      </c>
      <c r="K81" s="12" t="n">
        <v>4465.08</v>
      </c>
    </row>
    <row r="82" customFormat="false" ht="15" hidden="false" customHeight="false" outlineLevel="0" collapsed="false">
      <c r="A82" s="1" t="n">
        <v>4</v>
      </c>
      <c r="B82" s="10" t="n">
        <v>45207</v>
      </c>
      <c r="C82" s="1" t="s">
        <v>53</v>
      </c>
      <c r="D82" s="1" t="s">
        <v>55</v>
      </c>
      <c r="E82" s="1" t="s">
        <v>47</v>
      </c>
      <c r="F82" s="1" t="n">
        <v>30</v>
      </c>
      <c r="G82" s="11" t="n">
        <v>573595.2</v>
      </c>
      <c r="H82" s="12" t="n">
        <v>39833</v>
      </c>
      <c r="I82" s="13" t="n">
        <v>14.4</v>
      </c>
      <c r="J82" s="12" t="n">
        <v>4558.5</v>
      </c>
      <c r="K82" s="12" t="n">
        <v>4465.51</v>
      </c>
    </row>
    <row r="83" customFormat="false" ht="15" hidden="false" customHeight="false" outlineLevel="0" collapsed="false">
      <c r="A83" s="1" t="n">
        <v>4</v>
      </c>
      <c r="B83" s="10" t="n">
        <v>45235</v>
      </c>
      <c r="C83" s="1" t="s">
        <v>53</v>
      </c>
      <c r="D83" s="1" t="s">
        <v>55</v>
      </c>
      <c r="E83" s="1" t="s">
        <v>47</v>
      </c>
      <c r="F83" s="1" t="n">
        <v>30</v>
      </c>
      <c r="G83" s="11" t="n">
        <v>531408.31</v>
      </c>
      <c r="H83" s="12" t="n">
        <v>36929</v>
      </c>
      <c r="I83" s="13" t="n">
        <v>14.39</v>
      </c>
      <c r="J83" s="12" t="n">
        <v>4558</v>
      </c>
      <c r="K83" s="12" t="n">
        <v>4463.19</v>
      </c>
    </row>
    <row r="84" customFormat="false" ht="15" hidden="false" customHeight="false" outlineLevel="0" collapsed="false">
      <c r="A84" s="1" t="n">
        <v>4</v>
      </c>
      <c r="B84" s="10" t="n">
        <v>45263</v>
      </c>
      <c r="C84" s="1" t="s">
        <v>53</v>
      </c>
      <c r="D84" s="1" t="s">
        <v>55</v>
      </c>
      <c r="E84" s="1" t="s">
        <v>47</v>
      </c>
      <c r="F84" s="1" t="n">
        <v>30</v>
      </c>
      <c r="G84" s="11" t="n">
        <v>457299.81</v>
      </c>
      <c r="H84" s="12" t="n">
        <v>31779</v>
      </c>
      <c r="I84" s="13" t="n">
        <v>14.39</v>
      </c>
      <c r="J84" s="12" t="n">
        <v>4557.5</v>
      </c>
      <c r="K84" s="12" t="n">
        <v>4439.46</v>
      </c>
    </row>
    <row r="85" customFormat="false" ht="15" hidden="false" customHeight="false" outlineLevel="0" collapsed="false">
      <c r="A85" s="1" t="n">
        <v>4</v>
      </c>
      <c r="B85" s="10" t="n">
        <v>45291</v>
      </c>
      <c r="C85" s="1" t="s">
        <v>53</v>
      </c>
      <c r="D85" s="1" t="s">
        <v>55</v>
      </c>
      <c r="E85" s="1" t="s">
        <v>47</v>
      </c>
      <c r="F85" s="1" t="n">
        <v>30</v>
      </c>
      <c r="G85" s="11" t="n">
        <v>431532.92</v>
      </c>
      <c r="H85" s="12" t="n">
        <v>29926</v>
      </c>
      <c r="I85" s="13" t="n">
        <v>14.42</v>
      </c>
      <c r="J85" s="12" t="n">
        <v>4557</v>
      </c>
      <c r="K85" s="12" t="n">
        <v>4413.91</v>
      </c>
    </row>
    <row r="86" customFormat="false" ht="15" hidden="false" customHeight="false" outlineLevel="0" collapsed="false">
      <c r="A86" s="1" t="n">
        <v>4</v>
      </c>
      <c r="B86" s="10" t="n">
        <v>44927</v>
      </c>
      <c r="C86" s="1" t="s">
        <v>56</v>
      </c>
      <c r="D86" s="1" t="s">
        <v>57</v>
      </c>
      <c r="E86" s="1" t="s">
        <v>47</v>
      </c>
      <c r="F86" s="1" t="n">
        <v>60</v>
      </c>
      <c r="G86" s="11" t="n">
        <v>341340.48</v>
      </c>
      <c r="H86" s="12" t="n">
        <v>13169</v>
      </c>
      <c r="I86" s="13" t="n">
        <v>25.92</v>
      </c>
      <c r="J86" s="12" t="n">
        <v>4580</v>
      </c>
      <c r="K86" s="12" t="n">
        <v>3833</v>
      </c>
    </row>
    <row r="87" customFormat="false" ht="15" hidden="false" customHeight="false" outlineLevel="0" collapsed="false">
      <c r="A87" s="1" t="n">
        <v>4</v>
      </c>
      <c r="B87" s="10" t="n">
        <v>44955</v>
      </c>
      <c r="C87" s="1" t="s">
        <v>56</v>
      </c>
      <c r="D87" s="1" t="s">
        <v>57</v>
      </c>
      <c r="E87" s="1" t="s">
        <v>47</v>
      </c>
      <c r="F87" s="1" t="n">
        <v>60</v>
      </c>
      <c r="G87" s="11" t="n">
        <v>441236.16</v>
      </c>
      <c r="H87" s="12" t="n">
        <v>17023</v>
      </c>
      <c r="I87" s="13" t="n">
        <v>25.92</v>
      </c>
      <c r="J87" s="12" t="n">
        <v>4580.75</v>
      </c>
      <c r="K87" s="12" t="n">
        <v>3957.77</v>
      </c>
    </row>
    <row r="88" customFormat="false" ht="15" hidden="false" customHeight="false" outlineLevel="0" collapsed="false">
      <c r="A88" s="1" t="n">
        <v>4</v>
      </c>
      <c r="B88" s="10" t="n">
        <v>44983</v>
      </c>
      <c r="C88" s="1" t="s">
        <v>56</v>
      </c>
      <c r="D88" s="1" t="s">
        <v>57</v>
      </c>
      <c r="E88" s="1" t="s">
        <v>47</v>
      </c>
      <c r="F88" s="1" t="n">
        <v>60</v>
      </c>
      <c r="G88" s="11" t="n">
        <v>414646.63</v>
      </c>
      <c r="H88" s="12" t="n">
        <v>15991</v>
      </c>
      <c r="I88" s="13" t="n">
        <v>25.93</v>
      </c>
      <c r="J88" s="12" t="n">
        <v>4579.75</v>
      </c>
      <c r="K88" s="12" t="n">
        <v>3988.96</v>
      </c>
    </row>
    <row r="89" customFormat="false" ht="15" hidden="false" customHeight="false" outlineLevel="0" collapsed="false">
      <c r="A89" s="1" t="n">
        <v>4</v>
      </c>
      <c r="B89" s="10" t="n">
        <v>45011</v>
      </c>
      <c r="C89" s="1" t="s">
        <v>56</v>
      </c>
      <c r="D89" s="1" t="s">
        <v>57</v>
      </c>
      <c r="E89" s="1" t="s">
        <v>47</v>
      </c>
      <c r="F89" s="1" t="n">
        <v>60</v>
      </c>
      <c r="G89" s="11" t="n">
        <v>399736.88</v>
      </c>
      <c r="H89" s="12" t="n">
        <v>15416</v>
      </c>
      <c r="I89" s="13" t="n">
        <v>25.93</v>
      </c>
      <c r="J89" s="12" t="n">
        <v>4576.5</v>
      </c>
      <c r="K89" s="12" t="n">
        <v>3925.72</v>
      </c>
    </row>
    <row r="90" customFormat="false" ht="15" hidden="false" customHeight="false" outlineLevel="0" collapsed="false">
      <c r="A90" s="1" t="n">
        <v>4</v>
      </c>
      <c r="B90" s="10" t="n">
        <v>45039</v>
      </c>
      <c r="C90" s="1" t="s">
        <v>56</v>
      </c>
      <c r="D90" s="1" t="s">
        <v>57</v>
      </c>
      <c r="E90" s="1" t="s">
        <v>47</v>
      </c>
      <c r="F90" s="1" t="n">
        <v>60</v>
      </c>
      <c r="G90" s="11" t="n">
        <v>390495.6</v>
      </c>
      <c r="H90" s="12" t="n">
        <v>15048</v>
      </c>
      <c r="I90" s="13" t="n">
        <v>25.95</v>
      </c>
      <c r="J90" s="12" t="n">
        <v>4569.25</v>
      </c>
      <c r="K90" s="12" t="n">
        <v>3914.48</v>
      </c>
    </row>
    <row r="91" customFormat="false" ht="15" hidden="false" customHeight="false" outlineLevel="0" collapsed="false">
      <c r="A91" s="1" t="n">
        <v>4</v>
      </c>
      <c r="B91" s="10" t="n">
        <v>45067</v>
      </c>
      <c r="C91" s="1" t="s">
        <v>56</v>
      </c>
      <c r="D91" s="1" t="s">
        <v>57</v>
      </c>
      <c r="E91" s="1" t="s">
        <v>47</v>
      </c>
      <c r="F91" s="1" t="n">
        <v>60</v>
      </c>
      <c r="G91" s="11" t="n">
        <v>382650.4</v>
      </c>
      <c r="H91" s="12" t="n">
        <v>14740</v>
      </c>
      <c r="I91" s="13" t="n">
        <v>25.96</v>
      </c>
      <c r="J91" s="12" t="n">
        <v>4564.5</v>
      </c>
      <c r="K91" s="12" t="n">
        <v>3910.86</v>
      </c>
    </row>
    <row r="92" customFormat="false" ht="15" hidden="false" customHeight="false" outlineLevel="0" collapsed="false">
      <c r="A92" s="1" t="n">
        <v>4</v>
      </c>
      <c r="B92" s="10" t="n">
        <v>45095</v>
      </c>
      <c r="C92" s="1" t="s">
        <v>56</v>
      </c>
      <c r="D92" s="1" t="s">
        <v>57</v>
      </c>
      <c r="E92" s="1" t="s">
        <v>47</v>
      </c>
      <c r="F92" s="1" t="n">
        <v>60</v>
      </c>
      <c r="G92" s="11" t="n">
        <v>412533.45</v>
      </c>
      <c r="H92" s="12" t="n">
        <v>15885</v>
      </c>
      <c r="I92" s="13" t="n">
        <v>25.97</v>
      </c>
      <c r="J92" s="12" t="n">
        <v>4560.75</v>
      </c>
      <c r="K92" s="12" t="n">
        <v>3922.7</v>
      </c>
    </row>
    <row r="93" customFormat="false" ht="15" hidden="false" customHeight="false" outlineLevel="0" collapsed="false">
      <c r="A93" s="1" t="n">
        <v>4</v>
      </c>
      <c r="B93" s="10" t="n">
        <v>45123</v>
      </c>
      <c r="C93" s="1" t="s">
        <v>56</v>
      </c>
      <c r="D93" s="1" t="s">
        <v>57</v>
      </c>
      <c r="E93" s="1" t="s">
        <v>47</v>
      </c>
      <c r="F93" s="1" t="n">
        <v>60</v>
      </c>
      <c r="G93" s="11" t="n">
        <v>402925.16</v>
      </c>
      <c r="H93" s="12" t="n">
        <v>15521</v>
      </c>
      <c r="I93" s="13" t="n">
        <v>25.96</v>
      </c>
      <c r="J93" s="12" t="n">
        <v>4560</v>
      </c>
      <c r="K93" s="12" t="n">
        <v>3938.93</v>
      </c>
    </row>
    <row r="94" customFormat="false" ht="15" hidden="false" customHeight="false" outlineLevel="0" collapsed="false">
      <c r="A94" s="1" t="n">
        <v>4</v>
      </c>
      <c r="B94" s="10" t="n">
        <v>45151</v>
      </c>
      <c r="C94" s="1" t="s">
        <v>56</v>
      </c>
      <c r="D94" s="1" t="s">
        <v>57</v>
      </c>
      <c r="E94" s="1" t="s">
        <v>47</v>
      </c>
      <c r="F94" s="1" t="n">
        <v>60</v>
      </c>
      <c r="G94" s="11" t="n">
        <v>390905.68</v>
      </c>
      <c r="H94" s="12" t="n">
        <v>15058</v>
      </c>
      <c r="I94" s="13" t="n">
        <v>25.96</v>
      </c>
      <c r="J94" s="12" t="n">
        <v>4560</v>
      </c>
      <c r="K94" s="12" t="n">
        <v>3948.96</v>
      </c>
    </row>
    <row r="95" customFormat="false" ht="15" hidden="false" customHeight="false" outlineLevel="0" collapsed="false">
      <c r="A95" s="1" t="n">
        <v>4</v>
      </c>
      <c r="B95" s="10" t="n">
        <v>45179</v>
      </c>
      <c r="C95" s="1" t="s">
        <v>56</v>
      </c>
      <c r="D95" s="1" t="s">
        <v>57</v>
      </c>
      <c r="E95" s="1" t="s">
        <v>47</v>
      </c>
      <c r="F95" s="1" t="n">
        <v>60</v>
      </c>
      <c r="G95" s="11" t="n">
        <v>388563.14</v>
      </c>
      <c r="H95" s="12" t="n">
        <v>14962</v>
      </c>
      <c r="I95" s="13" t="n">
        <v>25.97</v>
      </c>
      <c r="J95" s="12" t="n">
        <v>4559</v>
      </c>
      <c r="K95" s="12" t="n">
        <v>3907.97</v>
      </c>
    </row>
    <row r="96" customFormat="false" ht="15" hidden="false" customHeight="false" outlineLevel="0" collapsed="false">
      <c r="A96" s="1" t="n">
        <v>4</v>
      </c>
      <c r="B96" s="10" t="n">
        <v>45207</v>
      </c>
      <c r="C96" s="1" t="s">
        <v>56</v>
      </c>
      <c r="D96" s="1" t="s">
        <v>57</v>
      </c>
      <c r="E96" s="1" t="s">
        <v>47</v>
      </c>
      <c r="F96" s="1" t="n">
        <v>60</v>
      </c>
      <c r="G96" s="11" t="n">
        <v>386875.09</v>
      </c>
      <c r="H96" s="12" t="n">
        <v>14897</v>
      </c>
      <c r="I96" s="13" t="n">
        <v>25.97</v>
      </c>
      <c r="J96" s="12" t="n">
        <v>4558.5</v>
      </c>
      <c r="K96" s="12" t="n">
        <v>3865.61</v>
      </c>
    </row>
    <row r="97" customFormat="false" ht="15" hidden="false" customHeight="false" outlineLevel="0" collapsed="false">
      <c r="A97" s="1" t="n">
        <v>4</v>
      </c>
      <c r="B97" s="10" t="n">
        <v>45235</v>
      </c>
      <c r="C97" s="1" t="s">
        <v>56</v>
      </c>
      <c r="D97" s="1" t="s">
        <v>57</v>
      </c>
      <c r="E97" s="1" t="s">
        <v>47</v>
      </c>
      <c r="F97" s="1" t="n">
        <v>60</v>
      </c>
      <c r="G97" s="11" t="n">
        <v>388283.72</v>
      </c>
      <c r="H97" s="12" t="n">
        <v>14957</v>
      </c>
      <c r="I97" s="13" t="n">
        <v>25.96</v>
      </c>
      <c r="J97" s="12" t="n">
        <v>4558</v>
      </c>
      <c r="K97" s="12" t="n">
        <v>3913.95</v>
      </c>
    </row>
    <row r="98" customFormat="false" ht="15" hidden="false" customHeight="false" outlineLevel="0" collapsed="false">
      <c r="A98" s="1" t="n">
        <v>4</v>
      </c>
      <c r="B98" s="10" t="n">
        <v>45263</v>
      </c>
      <c r="C98" s="1" t="s">
        <v>56</v>
      </c>
      <c r="D98" s="1" t="s">
        <v>57</v>
      </c>
      <c r="E98" s="1" t="s">
        <v>47</v>
      </c>
      <c r="F98" s="1" t="n">
        <v>60</v>
      </c>
      <c r="G98" s="11" t="n">
        <v>378097.23</v>
      </c>
      <c r="H98" s="12" t="n">
        <v>14559</v>
      </c>
      <c r="I98" s="13" t="n">
        <v>25.97</v>
      </c>
      <c r="J98" s="12" t="n">
        <v>4557.5</v>
      </c>
      <c r="K98" s="12" t="n">
        <v>3850.63</v>
      </c>
    </row>
    <row r="99" customFormat="false" ht="15" hidden="false" customHeight="false" outlineLevel="0" collapsed="false">
      <c r="A99" s="1" t="n">
        <v>4</v>
      </c>
      <c r="B99" s="10" t="n">
        <v>45291</v>
      </c>
      <c r="C99" s="1" t="s">
        <v>56</v>
      </c>
      <c r="D99" s="1" t="s">
        <v>57</v>
      </c>
      <c r="E99" s="1" t="s">
        <v>47</v>
      </c>
      <c r="F99" s="1" t="n">
        <v>60</v>
      </c>
      <c r="G99" s="11" t="n">
        <v>382486.16</v>
      </c>
      <c r="H99" s="12" t="n">
        <v>14728</v>
      </c>
      <c r="I99" s="13" t="n">
        <v>25.97</v>
      </c>
      <c r="J99" s="12" t="n">
        <v>4557</v>
      </c>
      <c r="K99" s="12" t="n">
        <v>3888.03</v>
      </c>
    </row>
    <row r="100" customFormat="false" ht="15" hidden="false" customHeight="false" outlineLevel="0" collapsed="false">
      <c r="A100" s="1" t="n">
        <v>4</v>
      </c>
      <c r="B100" s="10" t="n">
        <v>44927</v>
      </c>
      <c r="C100" s="1" t="s">
        <v>58</v>
      </c>
      <c r="D100" s="1" t="s">
        <v>59</v>
      </c>
      <c r="E100" s="1" t="s">
        <v>52</v>
      </c>
      <c r="F100" s="1" t="n">
        <v>48</v>
      </c>
      <c r="G100" s="11" t="n">
        <v>47734.33</v>
      </c>
      <c r="H100" s="12" t="n">
        <v>2989</v>
      </c>
      <c r="I100" s="13" t="n">
        <v>15.97</v>
      </c>
      <c r="J100" s="12" t="n">
        <v>4580</v>
      </c>
      <c r="K100" s="12" t="n">
        <v>1757.8</v>
      </c>
    </row>
    <row r="101" customFormat="false" ht="15" hidden="false" customHeight="false" outlineLevel="0" collapsed="false">
      <c r="A101" s="1" t="n">
        <v>4</v>
      </c>
      <c r="B101" s="10" t="n">
        <v>44955</v>
      </c>
      <c r="C101" s="1" t="s">
        <v>58</v>
      </c>
      <c r="D101" s="1" t="s">
        <v>59</v>
      </c>
      <c r="E101" s="1" t="s">
        <v>52</v>
      </c>
      <c r="F101" s="1" t="n">
        <v>48</v>
      </c>
      <c r="G101" s="11" t="n">
        <v>54886.44</v>
      </c>
      <c r="H101" s="12" t="n">
        <v>3439</v>
      </c>
      <c r="I101" s="13" t="n">
        <v>15.96</v>
      </c>
      <c r="J101" s="12" t="n">
        <v>4580.75</v>
      </c>
      <c r="K101" s="12" t="n">
        <v>1932.16</v>
      </c>
    </row>
    <row r="102" customFormat="false" ht="15" hidden="false" customHeight="false" outlineLevel="0" collapsed="false">
      <c r="A102" s="1" t="n">
        <v>4</v>
      </c>
      <c r="B102" s="10" t="n">
        <v>44983</v>
      </c>
      <c r="C102" s="1" t="s">
        <v>58</v>
      </c>
      <c r="D102" s="1" t="s">
        <v>59</v>
      </c>
      <c r="E102" s="1" t="s">
        <v>52</v>
      </c>
      <c r="F102" s="1" t="n">
        <v>48</v>
      </c>
      <c r="G102" s="11" t="n">
        <v>50689.26</v>
      </c>
      <c r="H102" s="12" t="n">
        <v>3182</v>
      </c>
      <c r="I102" s="13" t="n">
        <v>15.93</v>
      </c>
      <c r="J102" s="12" t="n">
        <v>4579.75</v>
      </c>
      <c r="K102" s="12" t="n">
        <v>1822.74</v>
      </c>
    </row>
    <row r="103" customFormat="false" ht="15" hidden="false" customHeight="false" outlineLevel="0" collapsed="false">
      <c r="A103" s="1" t="n">
        <v>4</v>
      </c>
      <c r="B103" s="10" t="n">
        <v>45011</v>
      </c>
      <c r="C103" s="1" t="s">
        <v>58</v>
      </c>
      <c r="D103" s="1" t="s">
        <v>59</v>
      </c>
      <c r="E103" s="1" t="s">
        <v>52</v>
      </c>
      <c r="F103" s="1" t="n">
        <v>48</v>
      </c>
      <c r="G103" s="11" t="n">
        <v>54180.06</v>
      </c>
      <c r="H103" s="12" t="n">
        <v>3399</v>
      </c>
      <c r="I103" s="13" t="n">
        <v>15.94</v>
      </c>
      <c r="J103" s="12" t="n">
        <v>4576.5</v>
      </c>
      <c r="K103" s="12" t="n">
        <v>1891.47</v>
      </c>
    </row>
    <row r="104" customFormat="false" ht="15" hidden="false" customHeight="false" outlineLevel="0" collapsed="false">
      <c r="A104" s="1" t="n">
        <v>4</v>
      </c>
      <c r="B104" s="10" t="n">
        <v>45039</v>
      </c>
      <c r="C104" s="1" t="s">
        <v>58</v>
      </c>
      <c r="D104" s="1" t="s">
        <v>59</v>
      </c>
      <c r="E104" s="1" t="s">
        <v>52</v>
      </c>
      <c r="F104" s="1" t="n">
        <v>48</v>
      </c>
      <c r="G104" s="11" t="n">
        <v>47223.29</v>
      </c>
      <c r="H104" s="12" t="n">
        <v>2957</v>
      </c>
      <c r="I104" s="13" t="n">
        <v>15.97</v>
      </c>
      <c r="J104" s="12" t="n">
        <v>4569.25</v>
      </c>
      <c r="K104" s="12" t="n">
        <v>1795.26</v>
      </c>
    </row>
    <row r="105" customFormat="false" ht="15" hidden="false" customHeight="false" outlineLevel="0" collapsed="false">
      <c r="A105" s="1" t="n">
        <v>4</v>
      </c>
      <c r="B105" s="10" t="n">
        <v>45067</v>
      </c>
      <c r="C105" s="1" t="s">
        <v>58</v>
      </c>
      <c r="D105" s="1" t="s">
        <v>59</v>
      </c>
      <c r="E105" s="1" t="s">
        <v>52</v>
      </c>
      <c r="F105" s="1" t="n">
        <v>48</v>
      </c>
      <c r="G105" s="11" t="n">
        <v>48137.76</v>
      </c>
      <c r="H105" s="12" t="n">
        <v>3039</v>
      </c>
      <c r="I105" s="13" t="n">
        <v>15.84</v>
      </c>
      <c r="J105" s="12" t="n">
        <v>4564.5</v>
      </c>
      <c r="K105" s="12" t="n">
        <v>1784.26</v>
      </c>
    </row>
    <row r="106" customFormat="false" ht="15" hidden="false" customHeight="false" outlineLevel="0" collapsed="false">
      <c r="A106" s="1" t="n">
        <v>4</v>
      </c>
      <c r="B106" s="10" t="n">
        <v>45095</v>
      </c>
      <c r="C106" s="1" t="s">
        <v>58</v>
      </c>
      <c r="D106" s="1" t="s">
        <v>59</v>
      </c>
      <c r="E106" s="1" t="s">
        <v>52</v>
      </c>
      <c r="F106" s="1" t="n">
        <v>48</v>
      </c>
      <c r="G106" s="11" t="n">
        <v>59902</v>
      </c>
      <c r="H106" s="12" t="n">
        <v>3928</v>
      </c>
      <c r="I106" s="13" t="n">
        <v>15.25</v>
      </c>
      <c r="J106" s="12" t="n">
        <v>4560.75</v>
      </c>
      <c r="K106" s="12" t="n">
        <v>2073.77</v>
      </c>
    </row>
    <row r="107" customFormat="false" ht="15" hidden="false" customHeight="false" outlineLevel="0" collapsed="false">
      <c r="A107" s="1" t="n">
        <v>4</v>
      </c>
      <c r="B107" s="10" t="n">
        <v>45123</v>
      </c>
      <c r="C107" s="1" t="s">
        <v>58</v>
      </c>
      <c r="D107" s="1" t="s">
        <v>59</v>
      </c>
      <c r="E107" s="1" t="s">
        <v>52</v>
      </c>
      <c r="F107" s="1" t="n">
        <v>48</v>
      </c>
      <c r="G107" s="11" t="n">
        <v>56379.25</v>
      </c>
      <c r="H107" s="12" t="n">
        <v>3697</v>
      </c>
      <c r="I107" s="13" t="n">
        <v>15.25</v>
      </c>
      <c r="J107" s="12" t="n">
        <v>4560</v>
      </c>
      <c r="K107" s="12" t="n">
        <v>1906.08</v>
      </c>
    </row>
    <row r="108" customFormat="false" ht="15" hidden="false" customHeight="false" outlineLevel="0" collapsed="false">
      <c r="A108" s="1" t="n">
        <v>4</v>
      </c>
      <c r="B108" s="10" t="n">
        <v>45151</v>
      </c>
      <c r="C108" s="1" t="s">
        <v>58</v>
      </c>
      <c r="D108" s="1" t="s">
        <v>59</v>
      </c>
      <c r="E108" s="1" t="s">
        <v>52</v>
      </c>
      <c r="F108" s="1" t="n">
        <v>48</v>
      </c>
      <c r="G108" s="11" t="n">
        <v>36340.75</v>
      </c>
      <c r="H108" s="12" t="n">
        <v>2383</v>
      </c>
      <c r="I108" s="13" t="n">
        <v>15.25</v>
      </c>
      <c r="J108" s="12" t="n">
        <v>4560</v>
      </c>
      <c r="K108" s="12" t="n">
        <v>1316.93</v>
      </c>
    </row>
    <row r="109" customFormat="false" ht="15" hidden="false" customHeight="false" outlineLevel="0" collapsed="false">
      <c r="A109" s="1" t="n">
        <v>4</v>
      </c>
      <c r="B109" s="10" t="n">
        <v>45179</v>
      </c>
      <c r="C109" s="1" t="s">
        <v>58</v>
      </c>
      <c r="D109" s="1" t="s">
        <v>59</v>
      </c>
      <c r="E109" s="1" t="s">
        <v>52</v>
      </c>
      <c r="F109" s="1" t="n">
        <v>48</v>
      </c>
      <c r="G109" s="11" t="n">
        <v>26601.55</v>
      </c>
      <c r="H109" s="12" t="n">
        <v>1733</v>
      </c>
      <c r="I109" s="13" t="n">
        <v>15.35</v>
      </c>
      <c r="J109" s="12" t="n">
        <v>4559</v>
      </c>
      <c r="K109" s="12" t="n">
        <v>1014.83</v>
      </c>
    </row>
    <row r="110" customFormat="false" ht="15" hidden="false" customHeight="false" outlineLevel="0" collapsed="false">
      <c r="A110" s="1" t="n">
        <v>4</v>
      </c>
      <c r="B110" s="10" t="n">
        <v>45207</v>
      </c>
      <c r="C110" s="1" t="s">
        <v>58</v>
      </c>
      <c r="D110" s="1" t="s">
        <v>59</v>
      </c>
      <c r="E110" s="1" t="s">
        <v>52</v>
      </c>
      <c r="F110" s="1" t="n">
        <v>48</v>
      </c>
      <c r="G110" s="11" t="n">
        <v>21812.35</v>
      </c>
      <c r="H110" s="12" t="n">
        <v>1421</v>
      </c>
      <c r="I110" s="13" t="n">
        <v>15.35</v>
      </c>
      <c r="J110" s="12" t="n">
        <v>4558.5</v>
      </c>
      <c r="K110" s="12" t="n">
        <v>862.01</v>
      </c>
    </row>
    <row r="111" customFormat="false" ht="15" hidden="false" customHeight="false" outlineLevel="0" collapsed="false">
      <c r="A111" s="1" t="n">
        <v>4</v>
      </c>
      <c r="B111" s="10" t="n">
        <v>45235</v>
      </c>
      <c r="C111" s="1" t="s">
        <v>58</v>
      </c>
      <c r="D111" s="1" t="s">
        <v>59</v>
      </c>
      <c r="E111" s="1" t="s">
        <v>52</v>
      </c>
      <c r="F111" s="1" t="n">
        <v>48</v>
      </c>
      <c r="G111" s="11" t="n">
        <v>18010.25</v>
      </c>
      <c r="H111" s="12" t="n">
        <v>1181</v>
      </c>
      <c r="I111" s="13" t="n">
        <v>15.25</v>
      </c>
      <c r="J111" s="12" t="n">
        <v>4558</v>
      </c>
      <c r="K111" s="12" t="n">
        <v>732.93</v>
      </c>
    </row>
    <row r="112" customFormat="false" ht="15" hidden="false" customHeight="false" outlineLevel="0" collapsed="false">
      <c r="A112" s="1" t="n">
        <v>4</v>
      </c>
      <c r="B112" s="10" t="n">
        <v>45263</v>
      </c>
      <c r="C112" s="1" t="s">
        <v>58</v>
      </c>
      <c r="D112" s="1" t="s">
        <v>59</v>
      </c>
      <c r="E112" s="1" t="s">
        <v>52</v>
      </c>
      <c r="F112" s="1" t="n">
        <v>48</v>
      </c>
      <c r="G112" s="11" t="n">
        <v>16470.55</v>
      </c>
      <c r="H112" s="12" t="n">
        <v>1073</v>
      </c>
      <c r="I112" s="13" t="n">
        <v>15.35</v>
      </c>
      <c r="J112" s="12" t="n">
        <v>4557.5</v>
      </c>
      <c r="K112" s="12" t="n">
        <v>658.1</v>
      </c>
    </row>
    <row r="113" customFormat="false" ht="15" hidden="false" customHeight="false" outlineLevel="0" collapsed="false">
      <c r="A113" s="1" t="n">
        <v>4</v>
      </c>
      <c r="B113" s="10" t="n">
        <v>45291</v>
      </c>
      <c r="C113" s="1" t="s">
        <v>58</v>
      </c>
      <c r="D113" s="1" t="s">
        <v>59</v>
      </c>
      <c r="E113" s="1" t="s">
        <v>52</v>
      </c>
      <c r="F113" s="1" t="n">
        <v>48</v>
      </c>
      <c r="G113" s="11" t="n">
        <v>14915.2</v>
      </c>
      <c r="H113" s="12" t="n">
        <v>944</v>
      </c>
      <c r="I113" s="13" t="n">
        <v>15.8</v>
      </c>
      <c r="J113" s="12" t="n">
        <v>4557</v>
      </c>
      <c r="K113" s="12" t="n">
        <v>615.2</v>
      </c>
    </row>
    <row r="114" customFormat="false" ht="15" hidden="false" customHeight="false" outlineLevel="0" collapsed="false">
      <c r="A114" s="1" t="n">
        <v>4</v>
      </c>
      <c r="B114" s="10" t="n">
        <v>44927</v>
      </c>
      <c r="C114" s="1" t="s">
        <v>58</v>
      </c>
      <c r="D114" s="1" t="s">
        <v>60</v>
      </c>
      <c r="E114" s="1" t="s">
        <v>47</v>
      </c>
      <c r="F114" s="1" t="n">
        <v>30</v>
      </c>
      <c r="G114" s="11" t="n">
        <v>245029.78</v>
      </c>
      <c r="H114" s="12" t="n">
        <v>14422</v>
      </c>
      <c r="I114" s="13" t="n">
        <v>16.99</v>
      </c>
      <c r="J114" s="12" t="n">
        <v>4580</v>
      </c>
      <c r="K114" s="12" t="n">
        <v>3976.81</v>
      </c>
    </row>
    <row r="115" customFormat="false" ht="15" hidden="false" customHeight="false" outlineLevel="0" collapsed="false">
      <c r="A115" s="1" t="n">
        <v>4</v>
      </c>
      <c r="B115" s="10" t="n">
        <v>44955</v>
      </c>
      <c r="C115" s="1" t="s">
        <v>58</v>
      </c>
      <c r="D115" s="1" t="s">
        <v>60</v>
      </c>
      <c r="E115" s="1" t="s">
        <v>47</v>
      </c>
      <c r="F115" s="1" t="n">
        <v>30</v>
      </c>
      <c r="G115" s="11" t="n">
        <v>245811.32</v>
      </c>
      <c r="H115" s="12" t="n">
        <v>14468</v>
      </c>
      <c r="I115" s="13" t="n">
        <v>16.99</v>
      </c>
      <c r="J115" s="12" t="n">
        <v>4580.75</v>
      </c>
      <c r="K115" s="12" t="n">
        <v>4009.53</v>
      </c>
    </row>
    <row r="116" customFormat="false" ht="15" hidden="false" customHeight="false" outlineLevel="0" collapsed="false">
      <c r="A116" s="1" t="n">
        <v>4</v>
      </c>
      <c r="B116" s="10" t="n">
        <v>44983</v>
      </c>
      <c r="C116" s="1" t="s">
        <v>58</v>
      </c>
      <c r="D116" s="1" t="s">
        <v>60</v>
      </c>
      <c r="E116" s="1" t="s">
        <v>47</v>
      </c>
      <c r="F116" s="1" t="n">
        <v>30</v>
      </c>
      <c r="G116" s="11" t="n">
        <v>230588.28</v>
      </c>
      <c r="H116" s="12" t="n">
        <v>13572</v>
      </c>
      <c r="I116" s="13" t="n">
        <v>16.99</v>
      </c>
      <c r="J116" s="12" t="n">
        <v>4579.75</v>
      </c>
      <c r="K116" s="12" t="n">
        <v>3968.81</v>
      </c>
    </row>
    <row r="117" customFormat="false" ht="15" hidden="false" customHeight="false" outlineLevel="0" collapsed="false">
      <c r="A117" s="1" t="n">
        <v>4</v>
      </c>
      <c r="B117" s="10" t="n">
        <v>45011</v>
      </c>
      <c r="C117" s="1" t="s">
        <v>58</v>
      </c>
      <c r="D117" s="1" t="s">
        <v>60</v>
      </c>
      <c r="E117" s="1" t="s">
        <v>47</v>
      </c>
      <c r="F117" s="1" t="n">
        <v>30</v>
      </c>
      <c r="G117" s="11" t="n">
        <v>198375.24</v>
      </c>
      <c r="H117" s="12" t="n">
        <v>11676</v>
      </c>
      <c r="I117" s="13" t="n">
        <v>16.99</v>
      </c>
      <c r="J117" s="12" t="n">
        <v>4576.5</v>
      </c>
      <c r="K117" s="12" t="n">
        <v>3841.51</v>
      </c>
    </row>
    <row r="118" customFormat="false" ht="15" hidden="false" customHeight="false" outlineLevel="0" collapsed="false">
      <c r="A118" s="1" t="n">
        <v>4</v>
      </c>
      <c r="B118" s="10" t="n">
        <v>45039</v>
      </c>
      <c r="C118" s="1" t="s">
        <v>58</v>
      </c>
      <c r="D118" s="1" t="s">
        <v>60</v>
      </c>
      <c r="E118" s="1" t="s">
        <v>47</v>
      </c>
      <c r="F118" s="1" t="n">
        <v>30</v>
      </c>
      <c r="G118" s="11" t="n">
        <v>192870.48</v>
      </c>
      <c r="H118" s="12" t="n">
        <v>11352</v>
      </c>
      <c r="I118" s="13" t="n">
        <v>16.99</v>
      </c>
      <c r="J118" s="12" t="n">
        <v>4569.25</v>
      </c>
      <c r="K118" s="12" t="n">
        <v>3834.51</v>
      </c>
    </row>
    <row r="119" customFormat="false" ht="15" hidden="false" customHeight="false" outlineLevel="0" collapsed="false">
      <c r="A119" s="1" t="n">
        <v>4</v>
      </c>
      <c r="B119" s="10" t="n">
        <v>45067</v>
      </c>
      <c r="C119" s="1" t="s">
        <v>58</v>
      </c>
      <c r="D119" s="1" t="s">
        <v>60</v>
      </c>
      <c r="E119" s="1" t="s">
        <v>47</v>
      </c>
      <c r="F119" s="1" t="n">
        <v>30</v>
      </c>
      <c r="G119" s="11" t="n">
        <v>200901.75</v>
      </c>
      <c r="H119" s="12" t="n">
        <v>11255</v>
      </c>
      <c r="I119" s="13" t="n">
        <v>17.85</v>
      </c>
      <c r="J119" s="12" t="n">
        <v>4564.5</v>
      </c>
      <c r="K119" s="12" t="n">
        <v>3784.88</v>
      </c>
    </row>
    <row r="120" customFormat="false" ht="15" hidden="false" customHeight="false" outlineLevel="0" collapsed="false">
      <c r="A120" s="1" t="n">
        <v>4</v>
      </c>
      <c r="B120" s="10" t="n">
        <v>45095</v>
      </c>
      <c r="C120" s="1" t="s">
        <v>58</v>
      </c>
      <c r="D120" s="1" t="s">
        <v>60</v>
      </c>
      <c r="E120" s="1" t="s">
        <v>47</v>
      </c>
      <c r="F120" s="1" t="n">
        <v>30</v>
      </c>
      <c r="G120" s="11" t="n">
        <v>239226</v>
      </c>
      <c r="H120" s="12" t="n">
        <v>12268</v>
      </c>
      <c r="I120" s="13" t="n">
        <v>19.5</v>
      </c>
      <c r="J120" s="12" t="n">
        <v>4560.75</v>
      </c>
      <c r="K120" s="12" t="n">
        <v>3837.87</v>
      </c>
    </row>
    <row r="121" customFormat="false" ht="15" hidden="false" customHeight="false" outlineLevel="0" collapsed="false">
      <c r="A121" s="1" t="n">
        <v>4</v>
      </c>
      <c r="B121" s="10" t="n">
        <v>45123</v>
      </c>
      <c r="C121" s="1" t="s">
        <v>58</v>
      </c>
      <c r="D121" s="1" t="s">
        <v>60</v>
      </c>
      <c r="E121" s="1" t="s">
        <v>47</v>
      </c>
      <c r="F121" s="1" t="n">
        <v>30</v>
      </c>
      <c r="G121" s="11" t="n">
        <v>246932.82</v>
      </c>
      <c r="H121" s="12" t="n">
        <v>12359</v>
      </c>
      <c r="I121" s="13" t="n">
        <v>19.98</v>
      </c>
      <c r="J121" s="12" t="n">
        <v>4560</v>
      </c>
      <c r="K121" s="12" t="n">
        <v>3875.09</v>
      </c>
    </row>
    <row r="122" customFormat="false" ht="15" hidden="false" customHeight="false" outlineLevel="0" collapsed="false">
      <c r="A122" s="1" t="n">
        <v>4</v>
      </c>
      <c r="B122" s="10" t="n">
        <v>45151</v>
      </c>
      <c r="C122" s="1" t="s">
        <v>58</v>
      </c>
      <c r="D122" s="1" t="s">
        <v>60</v>
      </c>
      <c r="E122" s="1" t="s">
        <v>47</v>
      </c>
      <c r="F122" s="1" t="n">
        <v>30</v>
      </c>
      <c r="G122" s="11" t="n">
        <v>252507.24</v>
      </c>
      <c r="H122" s="12" t="n">
        <v>12638</v>
      </c>
      <c r="I122" s="13" t="n">
        <v>19.98</v>
      </c>
      <c r="J122" s="12" t="n">
        <v>4560</v>
      </c>
      <c r="K122" s="12" t="n">
        <v>3836.78</v>
      </c>
    </row>
    <row r="123" customFormat="false" ht="15" hidden="false" customHeight="false" outlineLevel="0" collapsed="false">
      <c r="A123" s="1" t="n">
        <v>4</v>
      </c>
      <c r="B123" s="10" t="n">
        <v>45179</v>
      </c>
      <c r="C123" s="1" t="s">
        <v>58</v>
      </c>
      <c r="D123" s="1" t="s">
        <v>60</v>
      </c>
      <c r="E123" s="1" t="s">
        <v>47</v>
      </c>
      <c r="F123" s="1" t="n">
        <v>30</v>
      </c>
      <c r="G123" s="11" t="n">
        <v>252640.47</v>
      </c>
      <c r="H123" s="12" t="n">
        <v>12651</v>
      </c>
      <c r="I123" s="13" t="n">
        <v>19.97</v>
      </c>
      <c r="J123" s="12" t="n">
        <v>4559</v>
      </c>
      <c r="K123" s="12" t="n">
        <v>3834.12</v>
      </c>
    </row>
    <row r="124" customFormat="false" ht="15" hidden="false" customHeight="false" outlineLevel="0" collapsed="false">
      <c r="A124" s="1" t="n">
        <v>4</v>
      </c>
      <c r="B124" s="10" t="n">
        <v>45207</v>
      </c>
      <c r="C124" s="1" t="s">
        <v>58</v>
      </c>
      <c r="D124" s="1" t="s">
        <v>60</v>
      </c>
      <c r="E124" s="1" t="s">
        <v>47</v>
      </c>
      <c r="F124" s="1" t="n">
        <v>30</v>
      </c>
      <c r="G124" s="11" t="n">
        <v>249775.05</v>
      </c>
      <c r="H124" s="12" t="n">
        <v>12495</v>
      </c>
      <c r="I124" s="13" t="n">
        <v>19.99</v>
      </c>
      <c r="J124" s="12" t="n">
        <v>4558.5</v>
      </c>
      <c r="K124" s="12" t="n">
        <v>3824.58</v>
      </c>
    </row>
    <row r="125" customFormat="false" ht="15" hidden="false" customHeight="false" outlineLevel="0" collapsed="false">
      <c r="A125" s="1" t="n">
        <v>4</v>
      </c>
      <c r="B125" s="10" t="n">
        <v>45235</v>
      </c>
      <c r="C125" s="1" t="s">
        <v>58</v>
      </c>
      <c r="D125" s="1" t="s">
        <v>60</v>
      </c>
      <c r="E125" s="1" t="s">
        <v>47</v>
      </c>
      <c r="F125" s="1" t="n">
        <v>30</v>
      </c>
      <c r="G125" s="11" t="n">
        <v>244857.51</v>
      </c>
      <c r="H125" s="12" t="n">
        <v>12249</v>
      </c>
      <c r="I125" s="13" t="n">
        <v>19.99</v>
      </c>
      <c r="J125" s="12" t="n">
        <v>4558</v>
      </c>
      <c r="K125" s="12" t="n">
        <v>3742.12</v>
      </c>
    </row>
    <row r="126" customFormat="false" ht="15" hidden="false" customHeight="false" outlineLevel="0" collapsed="false">
      <c r="A126" s="1" t="n">
        <v>4</v>
      </c>
      <c r="B126" s="10" t="n">
        <v>45263</v>
      </c>
      <c r="C126" s="1" t="s">
        <v>58</v>
      </c>
      <c r="D126" s="1" t="s">
        <v>60</v>
      </c>
      <c r="E126" s="1" t="s">
        <v>47</v>
      </c>
      <c r="F126" s="1" t="n">
        <v>30</v>
      </c>
      <c r="G126" s="11" t="n">
        <v>245417.23</v>
      </c>
      <c r="H126" s="12" t="n">
        <v>12277</v>
      </c>
      <c r="I126" s="13" t="n">
        <v>19.99</v>
      </c>
      <c r="J126" s="12" t="n">
        <v>4557.5</v>
      </c>
      <c r="K126" s="12" t="n">
        <v>3790.47</v>
      </c>
    </row>
    <row r="127" customFormat="false" ht="15" hidden="false" customHeight="false" outlineLevel="0" collapsed="false">
      <c r="A127" s="1" t="n">
        <v>4</v>
      </c>
      <c r="B127" s="10" t="n">
        <v>45291</v>
      </c>
      <c r="C127" s="1" t="s">
        <v>58</v>
      </c>
      <c r="D127" s="1" t="s">
        <v>60</v>
      </c>
      <c r="E127" s="1" t="s">
        <v>47</v>
      </c>
      <c r="F127" s="1" t="n">
        <v>30</v>
      </c>
      <c r="G127" s="11" t="n">
        <v>247752</v>
      </c>
      <c r="H127" s="12" t="n">
        <v>12400</v>
      </c>
      <c r="I127" s="13" t="n">
        <v>19.98</v>
      </c>
      <c r="J127" s="12" t="n">
        <v>4557</v>
      </c>
      <c r="K127" s="12" t="n">
        <v>3781.85</v>
      </c>
    </row>
    <row r="128" customFormat="false" ht="15" hidden="false" customHeight="false" outlineLevel="0" collapsed="false">
      <c r="A128" s="1" t="n">
        <v>4</v>
      </c>
      <c r="B128" s="10" t="n">
        <v>44927</v>
      </c>
      <c r="C128" s="1" t="s">
        <v>58</v>
      </c>
      <c r="D128" s="1" t="s">
        <v>61</v>
      </c>
      <c r="E128" s="1" t="s">
        <v>47</v>
      </c>
      <c r="F128" s="1" t="n">
        <v>30</v>
      </c>
      <c r="G128" s="11" t="n">
        <v>408199.2</v>
      </c>
      <c r="H128" s="12" t="n">
        <v>24040</v>
      </c>
      <c r="I128" s="13" t="n">
        <v>16.98</v>
      </c>
      <c r="J128" s="12" t="n">
        <v>4580</v>
      </c>
      <c r="K128" s="12" t="n">
        <v>4330.85</v>
      </c>
    </row>
    <row r="129" customFormat="false" ht="15" hidden="false" customHeight="false" outlineLevel="0" collapsed="false">
      <c r="A129" s="1" t="n">
        <v>4</v>
      </c>
      <c r="B129" s="10" t="n">
        <v>44955</v>
      </c>
      <c r="C129" s="1" t="s">
        <v>58</v>
      </c>
      <c r="D129" s="1" t="s">
        <v>61</v>
      </c>
      <c r="E129" s="1" t="s">
        <v>47</v>
      </c>
      <c r="F129" s="1" t="n">
        <v>30</v>
      </c>
      <c r="G129" s="11" t="n">
        <v>408080.34</v>
      </c>
      <c r="H129" s="12" t="n">
        <v>24033</v>
      </c>
      <c r="I129" s="13" t="n">
        <v>16.98</v>
      </c>
      <c r="J129" s="12" t="n">
        <v>4580.75</v>
      </c>
      <c r="K129" s="12" t="n">
        <v>4331.56</v>
      </c>
    </row>
    <row r="130" customFormat="false" ht="15" hidden="false" customHeight="false" outlineLevel="0" collapsed="false">
      <c r="A130" s="1" t="n">
        <v>4</v>
      </c>
      <c r="B130" s="10" t="n">
        <v>44983</v>
      </c>
      <c r="C130" s="1" t="s">
        <v>58</v>
      </c>
      <c r="D130" s="1" t="s">
        <v>61</v>
      </c>
      <c r="E130" s="1" t="s">
        <v>47</v>
      </c>
      <c r="F130" s="1" t="n">
        <v>30</v>
      </c>
      <c r="G130" s="11" t="n">
        <v>426554.58</v>
      </c>
      <c r="H130" s="12" t="n">
        <v>25121</v>
      </c>
      <c r="I130" s="13" t="n">
        <v>16.98</v>
      </c>
      <c r="J130" s="12" t="n">
        <v>4579.75</v>
      </c>
      <c r="K130" s="12" t="n">
        <v>4420.83</v>
      </c>
    </row>
    <row r="131" customFormat="false" ht="15" hidden="false" customHeight="false" outlineLevel="0" collapsed="false">
      <c r="A131" s="1" t="n">
        <v>4</v>
      </c>
      <c r="B131" s="10" t="n">
        <v>45011</v>
      </c>
      <c r="C131" s="1" t="s">
        <v>58</v>
      </c>
      <c r="D131" s="1" t="s">
        <v>61</v>
      </c>
      <c r="E131" s="1" t="s">
        <v>47</v>
      </c>
      <c r="F131" s="1" t="n">
        <v>30</v>
      </c>
      <c r="G131" s="11" t="n">
        <v>429627.96</v>
      </c>
      <c r="H131" s="12" t="n">
        <v>25302</v>
      </c>
      <c r="I131" s="13" t="n">
        <v>16.98</v>
      </c>
      <c r="J131" s="12" t="n">
        <v>4576.5</v>
      </c>
      <c r="K131" s="12" t="n">
        <v>4426.39</v>
      </c>
    </row>
    <row r="132" customFormat="false" ht="15" hidden="false" customHeight="false" outlineLevel="0" collapsed="false">
      <c r="A132" s="1" t="n">
        <v>4</v>
      </c>
      <c r="B132" s="10" t="n">
        <v>45039</v>
      </c>
      <c r="C132" s="1" t="s">
        <v>58</v>
      </c>
      <c r="D132" s="1" t="s">
        <v>61</v>
      </c>
      <c r="E132" s="1" t="s">
        <v>47</v>
      </c>
      <c r="F132" s="1" t="n">
        <v>30</v>
      </c>
      <c r="G132" s="11" t="n">
        <v>454233.38</v>
      </c>
      <c r="H132" s="12" t="n">
        <v>25433</v>
      </c>
      <c r="I132" s="13" t="n">
        <v>17.86</v>
      </c>
      <c r="J132" s="12" t="n">
        <v>4569.25</v>
      </c>
      <c r="K132" s="12" t="n">
        <v>4428.52</v>
      </c>
    </row>
    <row r="133" customFormat="false" ht="15" hidden="false" customHeight="false" outlineLevel="0" collapsed="false">
      <c r="A133" s="1" t="n">
        <v>4</v>
      </c>
      <c r="B133" s="10" t="n">
        <v>45067</v>
      </c>
      <c r="C133" s="1" t="s">
        <v>58</v>
      </c>
      <c r="D133" s="1" t="s">
        <v>61</v>
      </c>
      <c r="E133" s="1" t="s">
        <v>47</v>
      </c>
      <c r="F133" s="1" t="n">
        <v>30</v>
      </c>
      <c r="G133" s="11" t="n">
        <v>509239.48</v>
      </c>
      <c r="H133" s="12" t="n">
        <v>25513</v>
      </c>
      <c r="I133" s="13" t="n">
        <v>19.96</v>
      </c>
      <c r="J133" s="12" t="n">
        <v>4564.5</v>
      </c>
      <c r="K133" s="12" t="n">
        <v>4382.83</v>
      </c>
    </row>
    <row r="134" customFormat="false" ht="15" hidden="false" customHeight="false" outlineLevel="0" collapsed="false">
      <c r="A134" s="1" t="n">
        <v>4</v>
      </c>
      <c r="B134" s="10" t="n">
        <v>45095</v>
      </c>
      <c r="C134" s="1" t="s">
        <v>58</v>
      </c>
      <c r="D134" s="1" t="s">
        <v>61</v>
      </c>
      <c r="E134" s="1" t="s">
        <v>47</v>
      </c>
      <c r="F134" s="1" t="n">
        <v>30</v>
      </c>
      <c r="G134" s="11" t="n">
        <v>511591.08</v>
      </c>
      <c r="H134" s="12" t="n">
        <v>25554</v>
      </c>
      <c r="I134" s="13" t="n">
        <v>20.02</v>
      </c>
      <c r="J134" s="12" t="n">
        <v>4560.75</v>
      </c>
      <c r="K134" s="12" t="n">
        <v>4395.65</v>
      </c>
    </row>
    <row r="135" customFormat="false" ht="15" hidden="false" customHeight="false" outlineLevel="0" collapsed="false">
      <c r="A135" s="1" t="n">
        <v>4</v>
      </c>
      <c r="B135" s="10" t="n">
        <v>45123</v>
      </c>
      <c r="C135" s="1" t="s">
        <v>58</v>
      </c>
      <c r="D135" s="1" t="s">
        <v>61</v>
      </c>
      <c r="E135" s="1" t="s">
        <v>47</v>
      </c>
      <c r="F135" s="1" t="n">
        <v>30</v>
      </c>
      <c r="G135" s="11" t="n">
        <v>511150.64</v>
      </c>
      <c r="H135" s="12" t="n">
        <v>25532</v>
      </c>
      <c r="I135" s="13" t="n">
        <v>20.02</v>
      </c>
      <c r="J135" s="12" t="n">
        <v>4560</v>
      </c>
      <c r="K135" s="12" t="n">
        <v>4388.09</v>
      </c>
    </row>
    <row r="136" customFormat="false" ht="15" hidden="false" customHeight="false" outlineLevel="0" collapsed="false">
      <c r="A136" s="1" t="n">
        <v>4</v>
      </c>
      <c r="B136" s="10" t="n">
        <v>45151</v>
      </c>
      <c r="C136" s="1" t="s">
        <v>58</v>
      </c>
      <c r="D136" s="1" t="s">
        <v>61</v>
      </c>
      <c r="E136" s="1" t="s">
        <v>47</v>
      </c>
      <c r="F136" s="1" t="n">
        <v>30</v>
      </c>
      <c r="G136" s="11" t="n">
        <v>524644.12</v>
      </c>
      <c r="H136" s="12" t="n">
        <v>26206</v>
      </c>
      <c r="I136" s="13" t="n">
        <v>20.02</v>
      </c>
      <c r="J136" s="12" t="n">
        <v>4560</v>
      </c>
      <c r="K136" s="12" t="n">
        <v>4346.14</v>
      </c>
    </row>
    <row r="137" customFormat="false" ht="15" hidden="false" customHeight="false" outlineLevel="0" collapsed="false">
      <c r="A137" s="1" t="n">
        <v>4</v>
      </c>
      <c r="B137" s="10" t="n">
        <v>45179</v>
      </c>
      <c r="C137" s="1" t="s">
        <v>58</v>
      </c>
      <c r="D137" s="1" t="s">
        <v>61</v>
      </c>
      <c r="E137" s="1" t="s">
        <v>47</v>
      </c>
      <c r="F137" s="1" t="n">
        <v>30</v>
      </c>
      <c r="G137" s="11" t="n">
        <v>509388.88</v>
      </c>
      <c r="H137" s="12" t="n">
        <v>25444</v>
      </c>
      <c r="I137" s="13" t="n">
        <v>20.02</v>
      </c>
      <c r="J137" s="12" t="n">
        <v>4559</v>
      </c>
      <c r="K137" s="12" t="n">
        <v>4345.18</v>
      </c>
    </row>
    <row r="138" customFormat="false" ht="15" hidden="false" customHeight="false" outlineLevel="0" collapsed="false">
      <c r="A138" s="1" t="n">
        <v>4</v>
      </c>
      <c r="B138" s="10" t="n">
        <v>45207</v>
      </c>
      <c r="C138" s="1" t="s">
        <v>58</v>
      </c>
      <c r="D138" s="1" t="s">
        <v>61</v>
      </c>
      <c r="E138" s="1" t="s">
        <v>47</v>
      </c>
      <c r="F138" s="1" t="n">
        <v>30</v>
      </c>
      <c r="G138" s="11" t="n">
        <v>523122.6</v>
      </c>
      <c r="H138" s="12" t="n">
        <v>26130</v>
      </c>
      <c r="I138" s="13" t="n">
        <v>20.02</v>
      </c>
      <c r="J138" s="12" t="n">
        <v>4558.5</v>
      </c>
      <c r="K138" s="12" t="n">
        <v>4335.59</v>
      </c>
    </row>
    <row r="139" customFormat="false" ht="15" hidden="false" customHeight="false" outlineLevel="0" collapsed="false">
      <c r="A139" s="1" t="n">
        <v>4</v>
      </c>
      <c r="B139" s="10" t="n">
        <v>45235</v>
      </c>
      <c r="C139" s="1" t="s">
        <v>58</v>
      </c>
      <c r="D139" s="1" t="s">
        <v>61</v>
      </c>
      <c r="E139" s="1" t="s">
        <v>47</v>
      </c>
      <c r="F139" s="1" t="n">
        <v>30</v>
      </c>
      <c r="G139" s="11" t="n">
        <v>515755.24</v>
      </c>
      <c r="H139" s="12" t="n">
        <v>25762</v>
      </c>
      <c r="I139" s="13" t="n">
        <v>20.02</v>
      </c>
      <c r="J139" s="12" t="n">
        <v>4558</v>
      </c>
      <c r="K139" s="12" t="n">
        <v>4298.19</v>
      </c>
    </row>
    <row r="140" customFormat="false" ht="15" hidden="false" customHeight="false" outlineLevel="0" collapsed="false">
      <c r="A140" s="1" t="n">
        <v>4</v>
      </c>
      <c r="B140" s="10" t="n">
        <v>45263</v>
      </c>
      <c r="C140" s="1" t="s">
        <v>58</v>
      </c>
      <c r="D140" s="1" t="s">
        <v>61</v>
      </c>
      <c r="E140" s="1" t="s">
        <v>47</v>
      </c>
      <c r="F140" s="1" t="n">
        <v>30</v>
      </c>
      <c r="G140" s="11" t="n">
        <v>522441.92</v>
      </c>
      <c r="H140" s="12" t="n">
        <v>26096</v>
      </c>
      <c r="I140" s="13" t="n">
        <v>20.02</v>
      </c>
      <c r="J140" s="12" t="n">
        <v>4557.5</v>
      </c>
      <c r="K140" s="12" t="n">
        <v>4273.57</v>
      </c>
    </row>
    <row r="141" customFormat="false" ht="15" hidden="false" customHeight="false" outlineLevel="0" collapsed="false">
      <c r="A141" s="1" t="n">
        <v>4</v>
      </c>
      <c r="B141" s="10" t="n">
        <v>45291</v>
      </c>
      <c r="C141" s="1" t="s">
        <v>58</v>
      </c>
      <c r="D141" s="1" t="s">
        <v>61</v>
      </c>
      <c r="E141" s="1" t="s">
        <v>47</v>
      </c>
      <c r="F141" s="1" t="n">
        <v>30</v>
      </c>
      <c r="G141" s="11" t="n">
        <v>517577.06</v>
      </c>
      <c r="H141" s="12" t="n">
        <v>25853</v>
      </c>
      <c r="I141" s="13" t="n">
        <v>20.02</v>
      </c>
      <c r="J141" s="12" t="n">
        <v>4557</v>
      </c>
      <c r="K141" s="12" t="n">
        <v>4246.21</v>
      </c>
    </row>
  </sheetData>
  <autoFilter ref="A1:K14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3" activeCellId="0" sqref="H3"/>
    </sheetView>
  </sheetViews>
  <sheetFormatPr defaultColWidth="11.53515625" defaultRowHeight="12.8" zeroHeight="false" outlineLevelRow="0" outlineLevelCol="0"/>
  <cols>
    <col collapsed="false" customWidth="true" hidden="false" outlineLevel="0" max="4" min="4" style="1" width="6.85"/>
    <col collapsed="false" customWidth="true" hidden="false" outlineLevel="0" max="7" min="7" style="1" width="14.98"/>
    <col collapsed="false" customWidth="true" hidden="false" outlineLevel="0" max="8" min="8" style="1" width="9.27"/>
  </cols>
  <sheetData>
    <row r="2" customFormat="false" ht="13.8" hidden="false" customHeight="false" outlineLevel="0" collapsed="false">
      <c r="A2" s="14" t="s">
        <v>22</v>
      </c>
      <c r="B2" s="14" t="s">
        <v>20</v>
      </c>
      <c r="C2" s="14" t="s">
        <v>24</v>
      </c>
      <c r="D2" s="14" t="s">
        <v>26</v>
      </c>
      <c r="E2" s="15" t="s">
        <v>62</v>
      </c>
      <c r="F2" s="15" t="s">
        <v>63</v>
      </c>
      <c r="G2" s="15" t="s">
        <v>64</v>
      </c>
      <c r="H2" s="16" t="s">
        <v>65</v>
      </c>
      <c r="I2" s="16" t="s">
        <v>66</v>
      </c>
    </row>
    <row r="3" customFormat="false" ht="13.8" hidden="false" customHeight="false" outlineLevel="0" collapsed="false">
      <c r="A3" s="17" t="s">
        <v>46</v>
      </c>
      <c r="B3" s="18" t="s">
        <v>45</v>
      </c>
      <c r="C3" s="18" t="s">
        <v>47</v>
      </c>
      <c r="D3" s="18" t="n">
        <v>20</v>
      </c>
      <c r="E3" s="19" t="n">
        <v>20.06</v>
      </c>
      <c r="F3" s="20" t="n">
        <v>206968</v>
      </c>
      <c r="G3" s="19" t="n">
        <v>4146620.15</v>
      </c>
      <c r="H3" s="21" t="n">
        <f aca="false">G3/$G$13</f>
        <v>0.0983279505736909</v>
      </c>
      <c r="I3" s="22" t="s">
        <v>67</v>
      </c>
    </row>
    <row r="4" customFormat="false" ht="13.8" hidden="false" customHeight="false" outlineLevel="0" collapsed="false">
      <c r="A4" s="23" t="s">
        <v>48</v>
      </c>
      <c r="B4" s="24" t="s">
        <v>45</v>
      </c>
      <c r="C4" s="24" t="s">
        <v>47</v>
      </c>
      <c r="D4" s="24" t="n">
        <v>30</v>
      </c>
      <c r="E4" s="25" t="n">
        <v>27.57</v>
      </c>
      <c r="F4" s="26" t="n">
        <v>26486</v>
      </c>
      <c r="G4" s="25" t="n">
        <v>726055.02</v>
      </c>
      <c r="H4" s="27" t="n">
        <f aca="false">G4/$G$13</f>
        <v>0.0172167933251229</v>
      </c>
      <c r="I4" s="28" t="s">
        <v>68</v>
      </c>
    </row>
    <row r="5" customFormat="false" ht="13.8" hidden="false" customHeight="false" outlineLevel="0" collapsed="false">
      <c r="A5" s="29" t="s">
        <v>50</v>
      </c>
      <c r="B5" s="30" t="s">
        <v>49</v>
      </c>
      <c r="C5" s="30" t="s">
        <v>47</v>
      </c>
      <c r="D5" s="30" t="n">
        <v>30</v>
      </c>
      <c r="E5" s="31" t="n">
        <v>14.86</v>
      </c>
      <c r="F5" s="32" t="n">
        <v>241845</v>
      </c>
      <c r="G5" s="31" t="n">
        <v>3588330.07</v>
      </c>
      <c r="H5" s="27" t="n">
        <f aca="false">G5/$G$13</f>
        <v>0.0850893327581618</v>
      </c>
      <c r="I5" s="28" t="s">
        <v>69</v>
      </c>
    </row>
    <row r="6" customFormat="false" ht="13.8" hidden="false" customHeight="false" outlineLevel="0" collapsed="false">
      <c r="A6" s="23" t="s">
        <v>51</v>
      </c>
      <c r="B6" s="24" t="s">
        <v>49</v>
      </c>
      <c r="C6" s="24" t="s">
        <v>52</v>
      </c>
      <c r="D6" s="24" t="n">
        <v>30</v>
      </c>
      <c r="E6" s="25" t="n">
        <v>29.99</v>
      </c>
      <c r="F6" s="26" t="n">
        <v>278751</v>
      </c>
      <c r="G6" s="25" t="n">
        <v>7985790.47</v>
      </c>
      <c r="H6" s="27" t="n">
        <f aca="false">G6/$G$13</f>
        <v>0.189365406577213</v>
      </c>
      <c r="I6" s="28" t="s">
        <v>68</v>
      </c>
    </row>
    <row r="7" customFormat="false" ht="13.8" hidden="false" customHeight="false" outlineLevel="0" collapsed="false">
      <c r="A7" s="29" t="s">
        <v>54</v>
      </c>
      <c r="B7" s="30" t="s">
        <v>53</v>
      </c>
      <c r="C7" s="30" t="s">
        <v>52</v>
      </c>
      <c r="D7" s="30" t="n">
        <v>60</v>
      </c>
      <c r="E7" s="31" t="n">
        <v>14.36</v>
      </c>
      <c r="F7" s="32" t="n">
        <v>196254</v>
      </c>
      <c r="G7" s="31" t="n">
        <v>2812944.58</v>
      </c>
      <c r="H7" s="27" t="n">
        <f aca="false">G7/$G$13</f>
        <v>0.0667027761461999</v>
      </c>
      <c r="I7" s="28" t="s">
        <v>69</v>
      </c>
    </row>
    <row r="8" customFormat="false" ht="13.8" hidden="false" customHeight="false" outlineLevel="0" collapsed="false">
      <c r="A8" s="29" t="s">
        <v>55</v>
      </c>
      <c r="B8" s="30" t="s">
        <v>53</v>
      </c>
      <c r="C8" s="30" t="s">
        <v>47</v>
      </c>
      <c r="D8" s="30" t="n">
        <v>30</v>
      </c>
      <c r="E8" s="31" t="n">
        <v>14.42</v>
      </c>
      <c r="F8" s="32" t="n">
        <v>471664</v>
      </c>
      <c r="G8" s="31" t="n">
        <v>6793236.17</v>
      </c>
      <c r="H8" s="27" t="n">
        <f aca="false">G8/$G$13</f>
        <v>0.161086611793745</v>
      </c>
      <c r="I8" s="28" t="s">
        <v>69</v>
      </c>
    </row>
    <row r="9" customFormat="false" ht="13.8" hidden="false" customHeight="false" outlineLevel="0" collapsed="false">
      <c r="A9" s="23" t="s">
        <v>57</v>
      </c>
      <c r="B9" s="24" t="s">
        <v>56</v>
      </c>
      <c r="C9" s="24" t="s">
        <v>47</v>
      </c>
      <c r="D9" s="24" t="n">
        <v>60</v>
      </c>
      <c r="E9" s="25" t="n">
        <v>25.97</v>
      </c>
      <c r="F9" s="26" t="n">
        <v>211954</v>
      </c>
      <c r="G9" s="25" t="n">
        <v>5500775.78</v>
      </c>
      <c r="H9" s="27" t="n">
        <f aca="false">G9/$G$13</f>
        <v>0.130438764450801</v>
      </c>
      <c r="I9" s="28" t="s">
        <v>68</v>
      </c>
    </row>
    <row r="10" customFormat="false" ht="13.8" hidden="false" customHeight="false" outlineLevel="0" collapsed="false">
      <c r="A10" s="29" t="s">
        <v>59</v>
      </c>
      <c r="B10" s="30" t="s">
        <v>58</v>
      </c>
      <c r="C10" s="30" t="s">
        <v>52</v>
      </c>
      <c r="D10" s="30" t="n">
        <v>48</v>
      </c>
      <c r="E10" s="31" t="n">
        <v>15.97</v>
      </c>
      <c r="F10" s="32" t="n">
        <v>35365</v>
      </c>
      <c r="G10" s="31" t="n">
        <v>553283.04</v>
      </c>
      <c r="H10" s="27" t="n">
        <f aca="false">G10/$G$13</f>
        <v>0.013119886906058</v>
      </c>
      <c r="I10" s="28" t="s">
        <v>69</v>
      </c>
    </row>
    <row r="11" customFormat="false" ht="13.8" hidden="false" customHeight="false" outlineLevel="0" collapsed="false">
      <c r="A11" s="33" t="s">
        <v>60</v>
      </c>
      <c r="B11" s="34" t="s">
        <v>58</v>
      </c>
      <c r="C11" s="34" t="s">
        <v>47</v>
      </c>
      <c r="D11" s="34" t="n">
        <v>30</v>
      </c>
      <c r="E11" s="35" t="n">
        <v>19.99</v>
      </c>
      <c r="F11" s="36" t="n">
        <v>176082</v>
      </c>
      <c r="G11" s="35" t="n">
        <v>3292685.17</v>
      </c>
      <c r="H11" s="27" t="n">
        <f aca="false">G11/$G$13</f>
        <v>0.0780787660645707</v>
      </c>
      <c r="I11" s="28" t="s">
        <v>67</v>
      </c>
    </row>
    <row r="12" customFormat="false" ht="13.8" hidden="false" customHeight="false" outlineLevel="0" collapsed="false">
      <c r="A12" s="37" t="s">
        <v>61</v>
      </c>
      <c r="B12" s="38" t="s">
        <v>58</v>
      </c>
      <c r="C12" s="38" t="s">
        <v>47</v>
      </c>
      <c r="D12" s="38" t="n">
        <v>30</v>
      </c>
      <c r="E12" s="39" t="n">
        <v>20.02</v>
      </c>
      <c r="F12" s="40" t="n">
        <v>356019</v>
      </c>
      <c r="G12" s="39" t="n">
        <v>6771606.48</v>
      </c>
      <c r="H12" s="41" t="n">
        <f aca="false">G12/$G$13</f>
        <v>0.160573711404437</v>
      </c>
      <c r="I12" s="42" t="s">
        <v>67</v>
      </c>
    </row>
    <row r="13" customFormat="false" ht="13.8" hidden="false" customHeight="false" outlineLevel="0" collapsed="false">
      <c r="A13" s="43" t="s">
        <v>70</v>
      </c>
      <c r="B13" s="43"/>
      <c r="C13" s="43"/>
      <c r="D13" s="43"/>
      <c r="E13" s="44"/>
      <c r="F13" s="45" t="n">
        <f aca="false">SUM(F3:F12)</f>
        <v>2201388</v>
      </c>
      <c r="G13" s="45" t="n">
        <f aca="false">SUM(G3:G12)</f>
        <v>42171326.93</v>
      </c>
    </row>
    <row r="14" customFormat="false" ht="13.8" hidden="false" customHeight="false" outlineLevel="0" collapsed="false"/>
    <row r="15" customFormat="false" ht="12.8" hidden="false" customHeight="true" outlineLevel="0" collapsed="false">
      <c r="A15" s="46" t="s">
        <v>71</v>
      </c>
      <c r="B15" s="46"/>
      <c r="C15" s="46"/>
      <c r="D15" s="46"/>
      <c r="E15" s="46"/>
      <c r="F15" s="46"/>
      <c r="G15" s="46"/>
      <c r="H15" s="46"/>
      <c r="I15" s="46"/>
    </row>
    <row r="16" customFormat="false" ht="13.8" hidden="false" customHeight="false" outlineLevel="0" collapsed="false">
      <c r="A16" s="46"/>
      <c r="B16" s="46"/>
      <c r="C16" s="46"/>
      <c r="D16" s="46"/>
      <c r="E16" s="46"/>
      <c r="F16" s="46"/>
      <c r="G16" s="46"/>
      <c r="H16" s="46"/>
      <c r="I16" s="46"/>
    </row>
    <row r="17" customFormat="false" ht="15" hidden="false" customHeight="false" outlineLevel="0" collapsed="false">
      <c r="A17" s="46"/>
      <c r="B17" s="46"/>
      <c r="C17" s="46"/>
      <c r="D17" s="46"/>
      <c r="E17" s="46"/>
      <c r="F17" s="46"/>
      <c r="G17" s="46"/>
      <c r="H17" s="46"/>
      <c r="I17" s="46"/>
    </row>
    <row r="18" customFormat="false" ht="13.8" hidden="false" customHeight="false" outlineLevel="0" collapsed="false">
      <c r="A18" s="46"/>
      <c r="B18" s="46"/>
      <c r="C18" s="46"/>
      <c r="D18" s="46"/>
      <c r="E18" s="46"/>
      <c r="F18" s="46"/>
      <c r="G18" s="46"/>
      <c r="H18" s="46"/>
      <c r="I18" s="46"/>
    </row>
    <row r="19" customFormat="false" ht="13.8" hidden="false" customHeight="false" outlineLevel="0" collapsed="false">
      <c r="A19" s="46"/>
      <c r="B19" s="46"/>
      <c r="C19" s="46"/>
      <c r="D19" s="46"/>
      <c r="E19" s="46"/>
      <c r="F19" s="46"/>
      <c r="G19" s="46"/>
      <c r="H19" s="46"/>
      <c r="I19" s="46"/>
    </row>
    <row r="20" customFormat="false" ht="13.8" hidden="false" customHeight="false" outlineLevel="0" collapsed="false">
      <c r="A20" s="46"/>
      <c r="B20" s="46"/>
      <c r="C20" s="46"/>
      <c r="D20" s="46"/>
      <c r="E20" s="46"/>
      <c r="F20" s="46"/>
      <c r="G20" s="46"/>
      <c r="H20" s="46"/>
      <c r="I20" s="46"/>
    </row>
    <row r="21" customFormat="false" ht="13.8" hidden="false" customHeight="false" outlineLevel="0" collapsed="false">
      <c r="A21" s="46"/>
      <c r="B21" s="46"/>
      <c r="C21" s="46"/>
      <c r="D21" s="46"/>
      <c r="E21" s="46"/>
      <c r="F21" s="46"/>
      <c r="G21" s="46"/>
      <c r="H21" s="46"/>
      <c r="I21" s="46"/>
    </row>
    <row r="22" customFormat="false" ht="13.8" hidden="false" customHeight="false" outlineLevel="0" collapsed="false">
      <c r="A22" s="46"/>
      <c r="B22" s="46"/>
      <c r="C22" s="46"/>
      <c r="D22" s="46"/>
      <c r="E22" s="46"/>
      <c r="F22" s="46"/>
      <c r="G22" s="46"/>
      <c r="H22" s="46"/>
      <c r="I22" s="46"/>
    </row>
    <row r="23" customFormat="false" ht="13.8" hidden="false" customHeight="false" outlineLevel="0" collapsed="false">
      <c r="A23" s="46"/>
      <c r="B23" s="46"/>
      <c r="C23" s="46"/>
      <c r="D23" s="46"/>
      <c r="E23" s="46"/>
      <c r="F23" s="46"/>
      <c r="G23" s="46"/>
      <c r="H23" s="46"/>
      <c r="I23" s="46"/>
    </row>
    <row r="24" customFormat="false" ht="12.8" hidden="false" customHeight="false" outlineLevel="0" collapsed="false">
      <c r="A24" s="46"/>
      <c r="B24" s="46"/>
      <c r="C24" s="46"/>
      <c r="D24" s="46"/>
      <c r="E24" s="46"/>
      <c r="F24" s="46"/>
      <c r="G24" s="46"/>
      <c r="H24" s="46"/>
      <c r="I24" s="46"/>
    </row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>
      <c r="A36" s="3"/>
    </row>
  </sheetData>
  <mergeCells count="1">
    <mergeCell ref="A15:I2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P13" activeCellId="0" sqref="P13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3" t="s">
        <v>72</v>
      </c>
    </row>
    <row r="3" customFormat="false" ht="13.8" hidden="false" customHeight="false" outlineLevel="0" collapsed="false">
      <c r="A3" s="47" t="s">
        <v>20</v>
      </c>
      <c r="B3" s="47" t="s">
        <v>22</v>
      </c>
      <c r="C3" s="47" t="s">
        <v>24</v>
      </c>
      <c r="D3" s="47" t="s">
        <v>26</v>
      </c>
    </row>
    <row r="4" customFormat="false" ht="13.8" hidden="false" customHeight="false" outlineLevel="0" collapsed="false">
      <c r="A4" s="48" t="s">
        <v>49</v>
      </c>
      <c r="B4" s="48" t="s">
        <v>51</v>
      </c>
      <c r="C4" s="48" t="s">
        <v>52</v>
      </c>
      <c r="D4" s="48" t="n">
        <v>30</v>
      </c>
      <c r="L4" s="49"/>
    </row>
    <row r="5" customFormat="false" ht="13.8" hidden="false" customHeight="false" outlineLevel="0" collapsed="false">
      <c r="A5" s="50" t="s">
        <v>18</v>
      </c>
      <c r="B5" s="50" t="s">
        <v>28</v>
      </c>
      <c r="C5" s="50" t="s">
        <v>30</v>
      </c>
      <c r="D5" s="50" t="s">
        <v>32</v>
      </c>
      <c r="E5" s="50" t="s">
        <v>34</v>
      </c>
      <c r="F5" s="50" t="s">
        <v>36</v>
      </c>
      <c r="L5" s="49"/>
    </row>
    <row r="6" customFormat="false" ht="13.8" hidden="false" customHeight="false" outlineLevel="0" collapsed="false">
      <c r="A6" s="51" t="n">
        <v>44927</v>
      </c>
      <c r="B6" s="52" t="n">
        <v>683180.7</v>
      </c>
      <c r="C6" s="53" t="n">
        <v>24735</v>
      </c>
      <c r="D6" s="52" t="n">
        <v>27.62</v>
      </c>
      <c r="E6" s="54" t="n">
        <v>4580</v>
      </c>
      <c r="F6" s="55" t="n">
        <v>4350.08</v>
      </c>
      <c r="L6" s="49"/>
    </row>
    <row r="7" customFormat="false" ht="13.8" hidden="false" customHeight="false" outlineLevel="0" collapsed="false">
      <c r="A7" s="56" t="n">
        <v>44955</v>
      </c>
      <c r="B7" s="44" t="n">
        <v>764467.12</v>
      </c>
      <c r="C7" s="1" t="n">
        <v>27658</v>
      </c>
      <c r="D7" s="44" t="n">
        <v>27.64</v>
      </c>
      <c r="E7" s="12" t="n">
        <v>4580.75</v>
      </c>
      <c r="F7" s="57" t="n">
        <v>4354.92</v>
      </c>
      <c r="L7" s="49"/>
    </row>
    <row r="8" customFormat="false" ht="13.8" hidden="false" customHeight="false" outlineLevel="0" collapsed="false">
      <c r="A8" s="56" t="n">
        <v>44983</v>
      </c>
      <c r="B8" s="44" t="n">
        <v>792230.4</v>
      </c>
      <c r="C8" s="1" t="n">
        <v>28704</v>
      </c>
      <c r="D8" s="44" t="n">
        <v>27.6</v>
      </c>
      <c r="E8" s="12" t="n">
        <v>4579.75</v>
      </c>
      <c r="F8" s="57" t="n">
        <v>4372.75</v>
      </c>
      <c r="L8" s="49"/>
    </row>
    <row r="9" customFormat="false" ht="13.8" hidden="false" customHeight="false" outlineLevel="0" collapsed="false">
      <c r="A9" s="56" t="n">
        <v>45011</v>
      </c>
      <c r="B9" s="44" t="n">
        <v>795516.3</v>
      </c>
      <c r="C9" s="1" t="n">
        <v>28719</v>
      </c>
      <c r="D9" s="44" t="n">
        <v>27.7</v>
      </c>
      <c r="E9" s="12" t="n">
        <v>4576.5</v>
      </c>
      <c r="F9" s="57" t="n">
        <v>4410.37</v>
      </c>
      <c r="L9" s="49"/>
    </row>
    <row r="10" customFormat="false" ht="13.8" hidden="false" customHeight="false" outlineLevel="0" collapsed="false">
      <c r="A10" s="56" t="n">
        <v>45039</v>
      </c>
      <c r="B10" s="44" t="n">
        <v>761446.8</v>
      </c>
      <c r="C10" s="1" t="n">
        <v>27292</v>
      </c>
      <c r="D10" s="44" t="n">
        <v>27.9</v>
      </c>
      <c r="E10" s="12" t="n">
        <v>4569.25</v>
      </c>
      <c r="F10" s="57" t="n">
        <v>4391.51</v>
      </c>
      <c r="L10" s="49"/>
    </row>
    <row r="11" customFormat="false" ht="13.8" hidden="false" customHeight="false" outlineLevel="0" collapsed="false">
      <c r="A11" s="56" t="n">
        <v>45067</v>
      </c>
      <c r="B11" s="44" t="n">
        <v>772606.5</v>
      </c>
      <c r="C11" s="1" t="n">
        <v>27109</v>
      </c>
      <c r="D11" s="44" t="n">
        <v>28.5</v>
      </c>
      <c r="E11" s="12" t="n">
        <v>4564.5</v>
      </c>
      <c r="F11" s="57" t="n">
        <v>4371.42</v>
      </c>
      <c r="L11" s="49"/>
    </row>
    <row r="12" customFormat="false" ht="13.8" hidden="false" customHeight="false" outlineLevel="0" collapsed="false">
      <c r="A12" s="56" t="n">
        <v>45095</v>
      </c>
      <c r="B12" s="44" t="n">
        <v>798506</v>
      </c>
      <c r="C12" s="1" t="n">
        <v>27068</v>
      </c>
      <c r="D12" s="44" t="n">
        <v>29.5</v>
      </c>
      <c r="E12" s="12" t="n">
        <v>4560.75</v>
      </c>
      <c r="F12" s="57" t="n">
        <v>4371.93</v>
      </c>
      <c r="L12" s="49"/>
    </row>
    <row r="13" customFormat="false" ht="13.8" hidden="false" customHeight="false" outlineLevel="0" collapsed="false">
      <c r="A13" s="56" t="n">
        <v>45123</v>
      </c>
      <c r="B13" s="44" t="n">
        <v>557975.2</v>
      </c>
      <c r="C13" s="1" t="n">
        <v>18724</v>
      </c>
      <c r="D13" s="44" t="n">
        <v>29.8</v>
      </c>
      <c r="E13" s="12" t="n">
        <v>4560</v>
      </c>
      <c r="F13" s="57" t="n">
        <v>4363.92</v>
      </c>
      <c r="L13" s="49"/>
    </row>
    <row r="14" customFormat="false" ht="13.8" hidden="false" customHeight="false" outlineLevel="0" collapsed="false">
      <c r="A14" s="56" t="n">
        <v>45151</v>
      </c>
      <c r="B14" s="44" t="n">
        <v>501620.28</v>
      </c>
      <c r="C14" s="1" t="n">
        <v>16743</v>
      </c>
      <c r="D14" s="44" t="n">
        <v>29.96</v>
      </c>
      <c r="E14" s="12" t="n">
        <v>4560</v>
      </c>
      <c r="F14" s="57" t="n">
        <v>4368.94</v>
      </c>
      <c r="L14" s="49"/>
    </row>
    <row r="15" customFormat="false" ht="13.8" hidden="false" customHeight="false" outlineLevel="0" collapsed="false">
      <c r="A15" s="56" t="n">
        <v>45179</v>
      </c>
      <c r="B15" s="44" t="n">
        <v>357120.92</v>
      </c>
      <c r="C15" s="1" t="n">
        <v>11908</v>
      </c>
      <c r="D15" s="44" t="n">
        <v>29.99</v>
      </c>
      <c r="E15" s="12" t="n">
        <v>4559</v>
      </c>
      <c r="F15" s="57" t="n">
        <v>4371.42</v>
      </c>
      <c r="L15" s="49"/>
    </row>
    <row r="16" customFormat="false" ht="13.8" hidden="false" customHeight="false" outlineLevel="0" collapsed="false">
      <c r="A16" s="56" t="n">
        <v>45207</v>
      </c>
      <c r="B16" s="44" t="n">
        <v>405164.43</v>
      </c>
      <c r="C16" s="1" t="n">
        <v>13519</v>
      </c>
      <c r="D16" s="44" t="n">
        <v>29.97</v>
      </c>
      <c r="E16" s="12" t="n">
        <v>4558.5</v>
      </c>
      <c r="F16" s="57" t="n">
        <v>4371.93</v>
      </c>
      <c r="L16" s="49"/>
    </row>
    <row r="17" customFormat="false" ht="13.8" hidden="false" customHeight="false" outlineLevel="0" collapsed="false">
      <c r="A17" s="56" t="n">
        <v>45235</v>
      </c>
      <c r="B17" s="44" t="n">
        <v>423193.5</v>
      </c>
      <c r="C17" s="1" t="n">
        <v>14130</v>
      </c>
      <c r="D17" s="44" t="n">
        <v>29.95</v>
      </c>
      <c r="E17" s="12" t="n">
        <v>4558</v>
      </c>
      <c r="F17" s="57" t="n">
        <v>4374.89</v>
      </c>
      <c r="L17" s="49"/>
    </row>
    <row r="18" customFormat="false" ht="13.8" hidden="false" customHeight="false" outlineLevel="0" collapsed="false">
      <c r="A18" s="56" t="n">
        <v>45263</v>
      </c>
      <c r="B18" s="44" t="n">
        <v>240548.84</v>
      </c>
      <c r="C18" s="1" t="n">
        <v>8029</v>
      </c>
      <c r="D18" s="44" t="n">
        <v>29.96</v>
      </c>
      <c r="E18" s="12" t="n">
        <v>4557.5</v>
      </c>
      <c r="F18" s="57" t="n">
        <v>4391.51</v>
      </c>
    </row>
    <row r="19" customFormat="false" ht="13.8" hidden="false" customHeight="false" outlineLevel="0" collapsed="false">
      <c r="A19" s="58" t="n">
        <v>45291</v>
      </c>
      <c r="B19" s="59" t="n">
        <v>132213.48</v>
      </c>
      <c r="C19" s="60" t="n">
        <v>4413</v>
      </c>
      <c r="D19" s="59" t="n">
        <v>29.96</v>
      </c>
      <c r="E19" s="61" t="n">
        <v>4557</v>
      </c>
      <c r="F19" s="62" t="n">
        <v>4372.75</v>
      </c>
    </row>
    <row r="21" customFormat="false" ht="15" hidden="false" customHeight="true" outlineLevel="0" collapsed="false">
      <c r="A21" s="1" t="s">
        <v>73</v>
      </c>
      <c r="B21" s="44" t="n">
        <f aca="false">SUM(B6:B10)/SUM(C6:C10)</f>
        <v>27.692339761356</v>
      </c>
      <c r="C21" s="63"/>
      <c r="D21" s="64" t="s">
        <v>74</v>
      </c>
      <c r="E21" s="64"/>
      <c r="F21" s="64"/>
    </row>
    <row r="22" customFormat="false" ht="13.8" hidden="false" customHeight="false" outlineLevel="0" collapsed="false">
      <c r="A22" s="1" t="s">
        <v>75</v>
      </c>
      <c r="B22" s="44" t="n">
        <f aca="false">SUM(B14:B19)/SUM(C14:C19)</f>
        <v>29.965107939833</v>
      </c>
      <c r="D22" s="64"/>
      <c r="E22" s="64"/>
      <c r="F22" s="64"/>
    </row>
    <row r="23" customFormat="false" ht="13.8" hidden="false" customHeight="false" outlineLevel="0" collapsed="false">
      <c r="A23" s="1" t="s">
        <v>76</v>
      </c>
      <c r="B23" s="27" t="n">
        <f aca="false">(B22-B21)/B21</f>
        <v>0.0820720891792819</v>
      </c>
      <c r="D23" s="64"/>
      <c r="E23" s="64"/>
      <c r="F23" s="64"/>
    </row>
    <row r="24" customFormat="false" ht="13.8" hidden="false" customHeight="false" outlineLevel="0" collapsed="false">
      <c r="D24" s="64"/>
      <c r="E24" s="64"/>
      <c r="F24" s="64"/>
      <c r="L24" s="65"/>
    </row>
    <row r="25" customFormat="false" ht="13.8" hidden="false" customHeight="false" outlineLevel="0" collapsed="false">
      <c r="A25" s="1" t="s">
        <v>77</v>
      </c>
      <c r="B25" s="66" t="n">
        <f aca="false">AVERAGE(C6:C10)</f>
        <v>27421.6</v>
      </c>
      <c r="D25" s="64"/>
      <c r="E25" s="64"/>
      <c r="F25" s="64"/>
      <c r="L25" s="67"/>
    </row>
    <row r="26" customFormat="false" ht="13.8" hidden="false" customHeight="false" outlineLevel="0" collapsed="false">
      <c r="A26" s="1" t="s">
        <v>78</v>
      </c>
      <c r="B26" s="1" t="n">
        <f aca="false">AVERAGE(C14:C19)</f>
        <v>11457</v>
      </c>
      <c r="D26" s="64"/>
      <c r="E26" s="64"/>
      <c r="F26" s="64"/>
      <c r="L26" s="67"/>
    </row>
    <row r="27" customFormat="false" ht="13.8" hidden="false" customHeight="false" outlineLevel="0" collapsed="false">
      <c r="A27" s="1" t="s">
        <v>79</v>
      </c>
      <c r="B27" s="27" t="n">
        <f aca="false">(B26-B25)/B25</f>
        <v>-0.58219068179829</v>
      </c>
      <c r="D27" s="64"/>
      <c r="E27" s="64"/>
      <c r="F27" s="64"/>
      <c r="L27" s="67"/>
    </row>
    <row r="28" customFormat="false" ht="13.8" hidden="false" customHeight="false" outlineLevel="0" collapsed="false">
      <c r="D28" s="64"/>
      <c r="E28" s="64"/>
      <c r="F28" s="64"/>
      <c r="L28" s="67"/>
    </row>
    <row r="29" customFormat="false" ht="13.8" hidden="false" customHeight="false" outlineLevel="0" collapsed="false">
      <c r="D29" s="64"/>
      <c r="E29" s="64"/>
      <c r="F29" s="64"/>
      <c r="L29" s="67"/>
    </row>
    <row r="30" customFormat="false" ht="13.8" hidden="false" customHeight="false" outlineLevel="0" collapsed="false">
      <c r="D30" s="64"/>
      <c r="E30" s="64"/>
      <c r="F30" s="64"/>
      <c r="L30" s="67"/>
    </row>
    <row r="31" customFormat="false" ht="13.8" hidden="false" customHeight="false" outlineLevel="0" collapsed="false">
      <c r="D31" s="64"/>
      <c r="E31" s="64"/>
      <c r="F31" s="64"/>
      <c r="L31" s="67"/>
    </row>
    <row r="32" customFormat="false" ht="13.8" hidden="false" customHeight="false" outlineLevel="0" collapsed="false">
      <c r="L32" s="67"/>
    </row>
    <row r="33" customFormat="false" ht="13.8" hidden="false" customHeight="false" outlineLevel="0" collapsed="false">
      <c r="L33" s="67"/>
    </row>
    <row r="34" customFormat="false" ht="13.8" hidden="false" customHeight="false" outlineLevel="0" collapsed="false">
      <c r="L34" s="67"/>
    </row>
    <row r="35" customFormat="false" ht="13.8" hidden="false" customHeight="false" outlineLevel="0" collapsed="false">
      <c r="L35" s="67"/>
    </row>
    <row r="36" customFormat="false" ht="13.8" hidden="false" customHeight="false" outlineLevel="0" collapsed="false">
      <c r="L36" s="67"/>
    </row>
    <row r="37" customFormat="false" ht="13.8" hidden="false" customHeight="false" outlineLevel="0" collapsed="false">
      <c r="L37" s="67"/>
    </row>
    <row r="38" customFormat="false" ht="13.8" hidden="false" customHeight="false" outlineLevel="0" collapsed="false">
      <c r="L38" s="67"/>
    </row>
    <row r="42" customFormat="false" ht="13.8" hidden="false" customHeight="false" outlineLevel="0" collapsed="false"/>
    <row r="43" customFormat="false" ht="13.8" hidden="false" customHeight="false" outlineLevel="0" collapsed="false">
      <c r="A43" s="47" t="s">
        <v>20</v>
      </c>
      <c r="B43" s="47" t="s">
        <v>22</v>
      </c>
      <c r="C43" s="47" t="s">
        <v>24</v>
      </c>
      <c r="D43" s="47" t="s">
        <v>26</v>
      </c>
    </row>
    <row r="44" customFormat="false" ht="13.8" hidden="false" customHeight="false" outlineLevel="0" collapsed="false">
      <c r="A44" s="48" t="s">
        <v>58</v>
      </c>
      <c r="B44" s="48" t="s">
        <v>59</v>
      </c>
      <c r="C44" s="48" t="s">
        <v>52</v>
      </c>
      <c r="D44" s="48" t="n">
        <v>48</v>
      </c>
    </row>
    <row r="45" customFormat="false" ht="13.8" hidden="false" customHeight="false" outlineLevel="0" collapsed="false">
      <c r="A45" s="50" t="s">
        <v>18</v>
      </c>
      <c r="B45" s="50" t="s">
        <v>28</v>
      </c>
      <c r="C45" s="50" t="s">
        <v>30</v>
      </c>
      <c r="D45" s="50" t="s">
        <v>32</v>
      </c>
      <c r="E45" s="50" t="s">
        <v>34</v>
      </c>
      <c r="F45" s="50" t="s">
        <v>36</v>
      </c>
      <c r="G45" s="1" t="s">
        <v>80</v>
      </c>
    </row>
    <row r="46" customFormat="false" ht="13.8" hidden="false" customHeight="false" outlineLevel="0" collapsed="false">
      <c r="A46" s="51" t="n">
        <v>44927</v>
      </c>
      <c r="B46" s="52" t="n">
        <v>47734.33</v>
      </c>
      <c r="C46" s="53" t="n">
        <v>2989</v>
      </c>
      <c r="D46" s="52" t="n">
        <v>15.97</v>
      </c>
      <c r="E46" s="54" t="n">
        <v>4580</v>
      </c>
      <c r="F46" s="55" t="n">
        <v>1757.8</v>
      </c>
      <c r="G46" s="27" t="n">
        <f aca="false">F46/E46</f>
        <v>0.383799126637555</v>
      </c>
    </row>
    <row r="47" customFormat="false" ht="13.8" hidden="false" customHeight="false" outlineLevel="0" collapsed="false">
      <c r="A47" s="56" t="n">
        <v>44955</v>
      </c>
      <c r="B47" s="44" t="n">
        <v>54886.44</v>
      </c>
      <c r="C47" s="1" t="n">
        <v>3439</v>
      </c>
      <c r="D47" s="44" t="n">
        <v>15.96</v>
      </c>
      <c r="E47" s="12" t="n">
        <v>4580.75</v>
      </c>
      <c r="F47" s="57" t="n">
        <v>1932.16</v>
      </c>
      <c r="G47" s="27" t="n">
        <f aca="false">F47/E47</f>
        <v>0.421799923593298</v>
      </c>
    </row>
    <row r="48" customFormat="false" ht="13.8" hidden="false" customHeight="false" outlineLevel="0" collapsed="false">
      <c r="A48" s="56" t="n">
        <v>44983</v>
      </c>
      <c r="B48" s="44" t="n">
        <v>50689.26</v>
      </c>
      <c r="C48" s="1" t="n">
        <v>3182</v>
      </c>
      <c r="D48" s="44" t="n">
        <v>15.93</v>
      </c>
      <c r="E48" s="12" t="n">
        <v>4579.75</v>
      </c>
      <c r="F48" s="57" t="n">
        <v>1822.74</v>
      </c>
      <c r="G48" s="27" t="n">
        <f aca="false">F48/E48</f>
        <v>0.397999890823735</v>
      </c>
    </row>
    <row r="49" customFormat="false" ht="13.8" hidden="false" customHeight="false" outlineLevel="0" collapsed="false">
      <c r="A49" s="56" t="n">
        <v>45011</v>
      </c>
      <c r="B49" s="44" t="n">
        <v>54180.06</v>
      </c>
      <c r="C49" s="1" t="n">
        <v>3399</v>
      </c>
      <c r="D49" s="44" t="n">
        <v>15.94</v>
      </c>
      <c r="E49" s="12" t="n">
        <v>4576.5</v>
      </c>
      <c r="F49" s="57" t="n">
        <v>1891.47</v>
      </c>
      <c r="G49" s="27" t="n">
        <f aca="false">F49/E49</f>
        <v>0.413300557194363</v>
      </c>
    </row>
    <row r="50" customFormat="false" ht="13.8" hidden="false" customHeight="false" outlineLevel="0" collapsed="false">
      <c r="A50" s="56" t="n">
        <v>45039</v>
      </c>
      <c r="B50" s="44" t="n">
        <v>47223.29</v>
      </c>
      <c r="C50" s="1" t="n">
        <v>2957</v>
      </c>
      <c r="D50" s="44" t="n">
        <v>15.97</v>
      </c>
      <c r="E50" s="12" t="n">
        <v>4569.25</v>
      </c>
      <c r="F50" s="57" t="n">
        <v>1795.26</v>
      </c>
      <c r="G50" s="27" t="n">
        <f aca="false">F50/E50</f>
        <v>0.392900366580949</v>
      </c>
    </row>
    <row r="51" customFormat="false" ht="13.8" hidden="false" customHeight="false" outlineLevel="0" collapsed="false">
      <c r="A51" s="56" t="n">
        <v>45067</v>
      </c>
      <c r="B51" s="44" t="n">
        <v>48137.76</v>
      </c>
      <c r="C51" s="1" t="n">
        <v>3039</v>
      </c>
      <c r="D51" s="44" t="n">
        <v>15.84</v>
      </c>
      <c r="E51" s="12" t="n">
        <v>4564.5</v>
      </c>
      <c r="F51" s="57" t="n">
        <v>1784.26</v>
      </c>
      <c r="G51" s="27" t="n">
        <f aca="false">F51/E51</f>
        <v>0.390899331799759</v>
      </c>
    </row>
    <row r="52" customFormat="false" ht="13.8" hidden="false" customHeight="false" outlineLevel="0" collapsed="false">
      <c r="A52" s="56" t="n">
        <v>45095</v>
      </c>
      <c r="B52" s="44" t="n">
        <v>59902</v>
      </c>
      <c r="C52" s="1" t="n">
        <v>3928</v>
      </c>
      <c r="D52" s="44" t="n">
        <v>15.25</v>
      </c>
      <c r="E52" s="12" t="n">
        <v>4560.75</v>
      </c>
      <c r="F52" s="57" t="n">
        <v>2073.77</v>
      </c>
      <c r="G52" s="27" t="n">
        <f aca="false">F52/E52</f>
        <v>0.454699336731897</v>
      </c>
    </row>
    <row r="53" customFormat="false" ht="13.8" hidden="false" customHeight="false" outlineLevel="0" collapsed="false">
      <c r="A53" s="56" t="n">
        <v>45123</v>
      </c>
      <c r="B53" s="44" t="n">
        <v>56379.25</v>
      </c>
      <c r="C53" s="1" t="n">
        <v>3697</v>
      </c>
      <c r="D53" s="44" t="n">
        <v>15.25</v>
      </c>
      <c r="E53" s="12" t="n">
        <v>4560</v>
      </c>
      <c r="F53" s="57" t="n">
        <v>1906.08</v>
      </c>
      <c r="G53" s="27" t="n">
        <f aca="false">F53/E53</f>
        <v>0.418</v>
      </c>
    </row>
    <row r="54" customFormat="false" ht="13.8" hidden="false" customHeight="false" outlineLevel="0" collapsed="false">
      <c r="A54" s="56" t="n">
        <v>45151</v>
      </c>
      <c r="B54" s="44" t="n">
        <v>36340.75</v>
      </c>
      <c r="C54" s="1" t="n">
        <v>2383</v>
      </c>
      <c r="D54" s="44" t="n">
        <v>15.25</v>
      </c>
      <c r="E54" s="12" t="n">
        <v>4560</v>
      </c>
      <c r="F54" s="57" t="n">
        <v>1316.93</v>
      </c>
      <c r="G54" s="27" t="n">
        <f aca="false">F54/E54</f>
        <v>0.288800438596491</v>
      </c>
    </row>
    <row r="55" customFormat="false" ht="13.8" hidden="false" customHeight="false" outlineLevel="0" collapsed="false">
      <c r="A55" s="56" t="n">
        <v>45179</v>
      </c>
      <c r="B55" s="44" t="n">
        <v>26601.55</v>
      </c>
      <c r="C55" s="1" t="n">
        <v>1733</v>
      </c>
      <c r="D55" s="44" t="n">
        <v>15.35</v>
      </c>
      <c r="E55" s="12" t="n">
        <v>4559</v>
      </c>
      <c r="F55" s="57" t="n">
        <v>1014.83</v>
      </c>
      <c r="G55" s="27" t="n">
        <f aca="false">F55/E55</f>
        <v>0.222599254222417</v>
      </c>
    </row>
    <row r="56" customFormat="false" ht="13.8" hidden="false" customHeight="false" outlineLevel="0" collapsed="false">
      <c r="A56" s="56" t="n">
        <v>45207</v>
      </c>
      <c r="B56" s="44" t="n">
        <v>21812.35</v>
      </c>
      <c r="C56" s="1" t="n">
        <v>1421</v>
      </c>
      <c r="D56" s="44" t="n">
        <v>15.35</v>
      </c>
      <c r="E56" s="12" t="n">
        <v>4558.5</v>
      </c>
      <c r="F56" s="57" t="n">
        <v>862.01</v>
      </c>
      <c r="G56" s="27" t="n">
        <f aca="false">F56/E56</f>
        <v>0.189099484479544</v>
      </c>
    </row>
    <row r="57" customFormat="false" ht="13.8" hidden="false" customHeight="false" outlineLevel="0" collapsed="false">
      <c r="A57" s="56" t="n">
        <v>45235</v>
      </c>
      <c r="B57" s="44" t="n">
        <v>18010.25</v>
      </c>
      <c r="C57" s="1" t="n">
        <v>1181</v>
      </c>
      <c r="D57" s="44" t="n">
        <v>15.25</v>
      </c>
      <c r="E57" s="12" t="n">
        <v>4558</v>
      </c>
      <c r="F57" s="57" t="n">
        <v>732.93</v>
      </c>
      <c r="G57" s="27" t="n">
        <f aca="false">F57/E57</f>
        <v>0.160800789820097</v>
      </c>
    </row>
    <row r="58" customFormat="false" ht="13.8" hidden="false" customHeight="false" outlineLevel="0" collapsed="false">
      <c r="A58" s="56" t="n">
        <v>45263</v>
      </c>
      <c r="B58" s="44" t="n">
        <v>16470.55</v>
      </c>
      <c r="C58" s="1" t="n">
        <v>1073</v>
      </c>
      <c r="D58" s="44" t="n">
        <v>15.35</v>
      </c>
      <c r="E58" s="12" t="n">
        <v>4557.5</v>
      </c>
      <c r="F58" s="57" t="n">
        <v>658.1</v>
      </c>
      <c r="G58" s="27" t="n">
        <f aca="false">F58/E58</f>
        <v>0.144399341744377</v>
      </c>
    </row>
    <row r="59" customFormat="false" ht="13.8" hidden="false" customHeight="false" outlineLevel="0" collapsed="false">
      <c r="A59" s="58" t="n">
        <v>45291</v>
      </c>
      <c r="B59" s="59" t="n">
        <v>14915.2</v>
      </c>
      <c r="C59" s="60" t="n">
        <v>944</v>
      </c>
      <c r="D59" s="59" t="n">
        <v>15.8</v>
      </c>
      <c r="E59" s="61" t="n">
        <v>4557</v>
      </c>
      <c r="F59" s="62" t="n">
        <v>615.2</v>
      </c>
      <c r="G59" s="27" t="n">
        <f aca="false">F59/E59</f>
        <v>0.135001097213079</v>
      </c>
    </row>
    <row r="61" customFormat="false" ht="13.8" hidden="false" customHeight="true" outlineLevel="0" collapsed="false">
      <c r="A61" s="1" t="s">
        <v>73</v>
      </c>
      <c r="B61" s="44" t="n">
        <f aca="false">SUM(B46:B50)/SUM(C46:C50)</f>
        <v>15.9534874107478</v>
      </c>
      <c r="D61" s="64" t="s">
        <v>81</v>
      </c>
      <c r="E61" s="64"/>
      <c r="F61" s="64"/>
    </row>
    <row r="62" customFormat="false" ht="13.8" hidden="false" customHeight="false" outlineLevel="0" collapsed="false">
      <c r="A62" s="1" t="s">
        <v>75</v>
      </c>
      <c r="B62" s="44" t="n">
        <f aca="false">SUM(B52:B58)/SUM(C52:C58)</f>
        <v>15.2774195640893</v>
      </c>
      <c r="D62" s="64"/>
      <c r="E62" s="64"/>
      <c r="F62" s="64"/>
    </row>
    <row r="63" customFormat="false" ht="13.8" hidden="false" customHeight="false" outlineLevel="0" collapsed="false">
      <c r="A63" s="1" t="s">
        <v>76</v>
      </c>
      <c r="B63" s="27" t="n">
        <f aca="false">(B62-B61)/B61</f>
        <v>-0.0423774331750884</v>
      </c>
      <c r="D63" s="64"/>
      <c r="E63" s="64"/>
      <c r="F63" s="64"/>
    </row>
    <row r="64" customFormat="false" ht="13.8" hidden="false" customHeight="false" outlineLevel="0" collapsed="false">
      <c r="D64" s="64"/>
      <c r="E64" s="64"/>
      <c r="F64" s="64"/>
    </row>
    <row r="65" customFormat="false" ht="13.8" hidden="false" customHeight="false" outlineLevel="0" collapsed="false">
      <c r="A65" s="1" t="s">
        <v>77</v>
      </c>
      <c r="B65" s="66" t="n">
        <f aca="false">AVERAGE(C46:C50)</f>
        <v>3193.2</v>
      </c>
      <c r="D65" s="64"/>
      <c r="E65" s="64"/>
      <c r="F65" s="64"/>
    </row>
    <row r="66" customFormat="false" ht="13.8" hidden="false" customHeight="false" outlineLevel="0" collapsed="false">
      <c r="A66" s="1" t="s">
        <v>78</v>
      </c>
      <c r="B66" s="66" t="n">
        <f aca="false">AVERAGE(C52:C58)</f>
        <v>2202.28571428571</v>
      </c>
      <c r="D66" s="64"/>
      <c r="E66" s="64"/>
      <c r="F66" s="64"/>
    </row>
    <row r="67" customFormat="false" ht="13.8" hidden="false" customHeight="false" outlineLevel="0" collapsed="false">
      <c r="A67" s="1" t="s">
        <v>79</v>
      </c>
      <c r="B67" s="27" t="n">
        <f aca="false">(B66-B65)/B65</f>
        <v>-0.310320144592974</v>
      </c>
      <c r="D67" s="64"/>
      <c r="E67" s="64"/>
      <c r="F67" s="64"/>
    </row>
    <row r="68" customFormat="false" ht="13.8" hidden="false" customHeight="false" outlineLevel="0" collapsed="false">
      <c r="D68" s="64"/>
      <c r="E68" s="64"/>
      <c r="F68" s="64"/>
    </row>
    <row r="69" customFormat="false" ht="13.8" hidden="false" customHeight="false" outlineLevel="0" collapsed="false">
      <c r="A69" s="1" t="s">
        <v>82</v>
      </c>
      <c r="B69" s="27" t="n">
        <f aca="false">AVERAGE(G46:G50)</f>
        <v>0.40195997296598</v>
      </c>
      <c r="D69" s="64"/>
      <c r="E69" s="64"/>
      <c r="F69" s="64"/>
    </row>
    <row r="70" customFormat="false" ht="13.8" hidden="false" customHeight="false" outlineLevel="0" collapsed="false">
      <c r="A70" s="1" t="s">
        <v>83</v>
      </c>
      <c r="B70" s="27" t="n">
        <f aca="false">AVERAGE(G56:G59)</f>
        <v>0.157325178314274</v>
      </c>
      <c r="D70" s="64"/>
      <c r="E70" s="64"/>
      <c r="F70" s="64"/>
    </row>
    <row r="71" customFormat="false" ht="13.8" hidden="false" customHeight="false" outlineLevel="0" collapsed="false">
      <c r="A71" s="1" t="s">
        <v>84</v>
      </c>
      <c r="B71" s="27" t="n">
        <f aca="false">(B70-B69)/B69</f>
        <v>-0.608604863928605</v>
      </c>
      <c r="D71" s="64"/>
      <c r="E71" s="64"/>
      <c r="F71" s="64"/>
    </row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>
      <c r="A84" s="47" t="s">
        <v>20</v>
      </c>
      <c r="B84" s="47" t="s">
        <v>22</v>
      </c>
      <c r="C84" s="47" t="s">
        <v>24</v>
      </c>
      <c r="D84" s="47" t="s">
        <v>26</v>
      </c>
    </row>
    <row r="85" customFormat="false" ht="13.8" hidden="false" customHeight="false" outlineLevel="0" collapsed="false">
      <c r="A85" s="48" t="s">
        <v>58</v>
      </c>
      <c r="B85" s="48" t="s">
        <v>60</v>
      </c>
      <c r="C85" s="48" t="s">
        <v>47</v>
      </c>
      <c r="D85" s="48" t="n">
        <v>30</v>
      </c>
    </row>
    <row r="86" customFormat="false" ht="13.8" hidden="false" customHeight="false" outlineLevel="0" collapsed="false">
      <c r="A86" s="50" t="s">
        <v>18</v>
      </c>
      <c r="B86" s="50" t="s">
        <v>28</v>
      </c>
      <c r="C86" s="50" t="s">
        <v>30</v>
      </c>
      <c r="D86" s="50" t="s">
        <v>32</v>
      </c>
      <c r="E86" s="50" t="s">
        <v>34</v>
      </c>
      <c r="F86" s="50" t="s">
        <v>36</v>
      </c>
    </row>
    <row r="87" customFormat="false" ht="13.8" hidden="false" customHeight="false" outlineLevel="0" collapsed="false">
      <c r="A87" s="51" t="n">
        <v>44927</v>
      </c>
      <c r="B87" s="52" t="n">
        <v>245029.78</v>
      </c>
      <c r="C87" s="53" t="n">
        <v>14422</v>
      </c>
      <c r="D87" s="52" t="n">
        <v>16.99</v>
      </c>
      <c r="E87" s="54" t="n">
        <v>4580</v>
      </c>
      <c r="F87" s="55" t="n">
        <v>3976.81</v>
      </c>
    </row>
    <row r="88" customFormat="false" ht="13.8" hidden="false" customHeight="false" outlineLevel="0" collapsed="false">
      <c r="A88" s="56" t="n">
        <v>44955</v>
      </c>
      <c r="B88" s="44" t="n">
        <v>245811.32</v>
      </c>
      <c r="C88" s="1" t="n">
        <v>14468</v>
      </c>
      <c r="D88" s="44" t="n">
        <v>16.99</v>
      </c>
      <c r="E88" s="12" t="n">
        <v>4580.75</v>
      </c>
      <c r="F88" s="57" t="n">
        <v>4009.53</v>
      </c>
    </row>
    <row r="89" customFormat="false" ht="13.8" hidden="false" customHeight="false" outlineLevel="0" collapsed="false">
      <c r="A89" s="56" t="n">
        <v>44983</v>
      </c>
      <c r="B89" s="44" t="n">
        <v>230588.28</v>
      </c>
      <c r="C89" s="1" t="n">
        <v>13572</v>
      </c>
      <c r="D89" s="44" t="n">
        <v>16.99</v>
      </c>
      <c r="E89" s="12" t="n">
        <v>4579.75</v>
      </c>
      <c r="F89" s="57" t="n">
        <v>3968.81</v>
      </c>
    </row>
    <row r="90" customFormat="false" ht="13.8" hidden="false" customHeight="false" outlineLevel="0" collapsed="false">
      <c r="A90" s="56" t="n">
        <v>45011</v>
      </c>
      <c r="B90" s="44" t="n">
        <v>198375.24</v>
      </c>
      <c r="C90" s="1" t="n">
        <v>11676</v>
      </c>
      <c r="D90" s="44" t="n">
        <v>16.99</v>
      </c>
      <c r="E90" s="12" t="n">
        <v>4576.5</v>
      </c>
      <c r="F90" s="57" t="n">
        <v>3841.51</v>
      </c>
    </row>
    <row r="91" customFormat="false" ht="13.8" hidden="false" customHeight="false" outlineLevel="0" collapsed="false">
      <c r="A91" s="56" t="n">
        <v>45039</v>
      </c>
      <c r="B91" s="44" t="n">
        <v>192870.48</v>
      </c>
      <c r="C91" s="1" t="n">
        <v>11352</v>
      </c>
      <c r="D91" s="44" t="n">
        <v>16.99</v>
      </c>
      <c r="E91" s="12" t="n">
        <v>4569.25</v>
      </c>
      <c r="F91" s="57" t="n">
        <v>3834.51</v>
      </c>
    </row>
    <row r="92" customFormat="false" ht="13.8" hidden="false" customHeight="false" outlineLevel="0" collapsed="false">
      <c r="A92" s="56" t="n">
        <v>45067</v>
      </c>
      <c r="B92" s="44" t="n">
        <v>200901.75</v>
      </c>
      <c r="C92" s="1" t="n">
        <v>11255</v>
      </c>
      <c r="D92" s="44" t="n">
        <v>17.85</v>
      </c>
      <c r="E92" s="12" t="n">
        <v>4564.5</v>
      </c>
      <c r="F92" s="57" t="n">
        <v>3784.88</v>
      </c>
    </row>
    <row r="93" customFormat="false" ht="13.8" hidden="false" customHeight="false" outlineLevel="0" collapsed="false">
      <c r="A93" s="56" t="n">
        <v>45095</v>
      </c>
      <c r="B93" s="44" t="n">
        <v>239226</v>
      </c>
      <c r="C93" s="1" t="n">
        <v>12268</v>
      </c>
      <c r="D93" s="44" t="n">
        <v>19.5</v>
      </c>
      <c r="E93" s="12" t="n">
        <v>4560.75</v>
      </c>
      <c r="F93" s="57" t="n">
        <v>3837.87</v>
      </c>
    </row>
    <row r="94" customFormat="false" ht="13.8" hidden="false" customHeight="false" outlineLevel="0" collapsed="false">
      <c r="A94" s="56" t="n">
        <v>45123</v>
      </c>
      <c r="B94" s="44" t="n">
        <v>246932.82</v>
      </c>
      <c r="C94" s="1" t="n">
        <v>12359</v>
      </c>
      <c r="D94" s="44" t="n">
        <v>19.98</v>
      </c>
      <c r="E94" s="12" t="n">
        <v>4560</v>
      </c>
      <c r="F94" s="57" t="n">
        <v>3875.09</v>
      </c>
    </row>
    <row r="95" customFormat="false" ht="13.8" hidden="false" customHeight="false" outlineLevel="0" collapsed="false">
      <c r="A95" s="56" t="n">
        <v>45151</v>
      </c>
      <c r="B95" s="44" t="n">
        <v>252507.24</v>
      </c>
      <c r="C95" s="1" t="n">
        <v>12638</v>
      </c>
      <c r="D95" s="44" t="n">
        <v>19.98</v>
      </c>
      <c r="E95" s="12" t="n">
        <v>4560</v>
      </c>
      <c r="F95" s="57" t="n">
        <v>3836.78</v>
      </c>
    </row>
    <row r="96" customFormat="false" ht="13.8" hidden="false" customHeight="false" outlineLevel="0" collapsed="false">
      <c r="A96" s="56" t="n">
        <v>45179</v>
      </c>
      <c r="B96" s="44" t="n">
        <v>252640.47</v>
      </c>
      <c r="C96" s="1" t="n">
        <v>12651</v>
      </c>
      <c r="D96" s="44" t="n">
        <v>19.97</v>
      </c>
      <c r="E96" s="12" t="n">
        <v>4559</v>
      </c>
      <c r="F96" s="57" t="n">
        <v>3834.12</v>
      </c>
    </row>
    <row r="97" customFormat="false" ht="13.8" hidden="false" customHeight="false" outlineLevel="0" collapsed="false">
      <c r="A97" s="56" t="n">
        <v>45207</v>
      </c>
      <c r="B97" s="44" t="n">
        <v>249775.05</v>
      </c>
      <c r="C97" s="1" t="n">
        <v>12495</v>
      </c>
      <c r="D97" s="44" t="n">
        <v>19.99</v>
      </c>
      <c r="E97" s="12" t="n">
        <v>4558.5</v>
      </c>
      <c r="F97" s="57" t="n">
        <v>3824.58</v>
      </c>
    </row>
    <row r="98" customFormat="false" ht="13.8" hidden="false" customHeight="false" outlineLevel="0" collapsed="false">
      <c r="A98" s="56" t="n">
        <v>45235</v>
      </c>
      <c r="B98" s="44" t="n">
        <v>244857.51</v>
      </c>
      <c r="C98" s="1" t="n">
        <v>12249</v>
      </c>
      <c r="D98" s="44" t="n">
        <v>19.99</v>
      </c>
      <c r="E98" s="12" t="n">
        <v>4558</v>
      </c>
      <c r="F98" s="57" t="n">
        <v>3742.12</v>
      </c>
    </row>
    <row r="99" customFormat="false" ht="13.8" hidden="false" customHeight="false" outlineLevel="0" collapsed="false">
      <c r="A99" s="56" t="n">
        <v>45263</v>
      </c>
      <c r="B99" s="44" t="n">
        <v>245417.23</v>
      </c>
      <c r="C99" s="1" t="n">
        <v>12277</v>
      </c>
      <c r="D99" s="44" t="n">
        <v>19.99</v>
      </c>
      <c r="E99" s="12" t="n">
        <v>4557.5</v>
      </c>
      <c r="F99" s="57" t="n">
        <v>3790.47</v>
      </c>
    </row>
    <row r="100" customFormat="false" ht="13.8" hidden="false" customHeight="false" outlineLevel="0" collapsed="false">
      <c r="A100" s="58" t="n">
        <v>45291</v>
      </c>
      <c r="B100" s="59" t="n">
        <v>247752</v>
      </c>
      <c r="C100" s="60" t="n">
        <v>12400</v>
      </c>
      <c r="D100" s="59" t="n">
        <v>19.98</v>
      </c>
      <c r="E100" s="61" t="n">
        <v>4557</v>
      </c>
      <c r="F100" s="62" t="n">
        <v>3781.85</v>
      </c>
    </row>
    <row r="101" customFormat="false" ht="13.8" hidden="false" customHeight="false" outlineLevel="0" collapsed="false"/>
    <row r="102" customFormat="false" ht="13.8" hidden="false" customHeight="true" outlineLevel="0" collapsed="false">
      <c r="A102" s="1" t="s">
        <v>73</v>
      </c>
      <c r="B102" s="44" t="n">
        <f aca="false">SUM(B87:B91)/SUM(C87:C91)</f>
        <v>16.99</v>
      </c>
      <c r="D102" s="64" t="s">
        <v>85</v>
      </c>
      <c r="E102" s="64"/>
      <c r="F102" s="64"/>
    </row>
    <row r="103" customFormat="false" ht="13.8" hidden="false" customHeight="false" outlineLevel="0" collapsed="false">
      <c r="A103" s="1" t="s">
        <v>75</v>
      </c>
      <c r="B103" s="44" t="n">
        <f aca="false">SUM(B94:B100)/SUM(C94:C100)</f>
        <v>19.9827989295846</v>
      </c>
      <c r="D103" s="64"/>
      <c r="E103" s="64"/>
      <c r="F103" s="64"/>
    </row>
    <row r="104" customFormat="false" ht="13.8" hidden="false" customHeight="false" outlineLevel="0" collapsed="false">
      <c r="A104" s="1" t="s">
        <v>76</v>
      </c>
      <c r="B104" s="27" t="n">
        <f aca="false">(B103-B102)/B102</f>
        <v>0.176150613866073</v>
      </c>
      <c r="D104" s="64"/>
      <c r="E104" s="64"/>
      <c r="F104" s="64"/>
    </row>
    <row r="105" customFormat="false" ht="13.8" hidden="false" customHeight="false" outlineLevel="0" collapsed="false">
      <c r="D105" s="64"/>
      <c r="E105" s="64"/>
      <c r="F105" s="64"/>
    </row>
    <row r="106" customFormat="false" ht="13.8" hidden="false" customHeight="false" outlineLevel="0" collapsed="false">
      <c r="A106" s="1" t="s">
        <v>77</v>
      </c>
      <c r="B106" s="66" t="n">
        <f aca="false">AVERAGE(C87:C91)</f>
        <v>13098</v>
      </c>
      <c r="D106" s="64"/>
      <c r="E106" s="64"/>
      <c r="F106" s="64"/>
    </row>
    <row r="107" customFormat="false" ht="13.8" hidden="false" customHeight="false" outlineLevel="0" collapsed="false">
      <c r="A107" s="1" t="s">
        <v>78</v>
      </c>
      <c r="B107" s="66" t="n">
        <f aca="false">AVERAGE(C94:C100)</f>
        <v>12438.4285714286</v>
      </c>
      <c r="D107" s="64"/>
      <c r="E107" s="64"/>
      <c r="F107" s="64"/>
    </row>
    <row r="108" customFormat="false" ht="13.8" hidden="false" customHeight="false" outlineLevel="0" collapsed="false">
      <c r="A108" s="1" t="s">
        <v>79</v>
      </c>
      <c r="B108" s="27" t="n">
        <f aca="false">(B107-B106)/B106</f>
        <v>-0.0503566520515674</v>
      </c>
      <c r="D108" s="64"/>
      <c r="E108" s="64"/>
      <c r="F108" s="64"/>
    </row>
    <row r="109" customFormat="false" ht="13.8" hidden="false" customHeight="false" outlineLevel="0" collapsed="false">
      <c r="D109" s="64"/>
      <c r="E109" s="64"/>
      <c r="F109" s="64"/>
    </row>
    <row r="110" customFormat="false" ht="13.8" hidden="false" customHeight="false" outlineLevel="0" collapsed="false">
      <c r="A110" s="1" t="s">
        <v>86</v>
      </c>
      <c r="B110" s="68" t="n">
        <f aca="false">B108/B104</f>
        <v>-0.285872702605814</v>
      </c>
      <c r="D110" s="64"/>
      <c r="E110" s="64"/>
      <c r="F110" s="64"/>
    </row>
    <row r="111" customFormat="false" ht="13.8" hidden="false" customHeight="false" outlineLevel="0" collapsed="false">
      <c r="D111" s="64"/>
      <c r="E111" s="64"/>
      <c r="F111" s="64"/>
    </row>
    <row r="112" customFormat="false" ht="13.8" hidden="false" customHeight="false" outlineLevel="0" collapsed="false">
      <c r="D112" s="64"/>
      <c r="E112" s="64"/>
      <c r="F112" s="64"/>
    </row>
    <row r="125" customFormat="false" ht="13.8" hidden="false" customHeight="false" outlineLevel="0" collapsed="false">
      <c r="A125" s="47" t="s">
        <v>20</v>
      </c>
      <c r="B125" s="47" t="s">
        <v>22</v>
      </c>
      <c r="C125" s="47" t="s">
        <v>24</v>
      </c>
      <c r="D125" s="47" t="s">
        <v>26</v>
      </c>
    </row>
    <row r="126" customFormat="false" ht="13.8" hidden="false" customHeight="false" outlineLevel="0" collapsed="false">
      <c r="A126" s="48" t="s">
        <v>58</v>
      </c>
      <c r="B126" s="48" t="s">
        <v>61</v>
      </c>
      <c r="C126" s="48" t="s">
        <v>47</v>
      </c>
      <c r="D126" s="48" t="n">
        <v>30</v>
      </c>
    </row>
    <row r="127" customFormat="false" ht="13.8" hidden="false" customHeight="false" outlineLevel="0" collapsed="false">
      <c r="A127" s="50" t="s">
        <v>18</v>
      </c>
      <c r="B127" s="50" t="s">
        <v>28</v>
      </c>
      <c r="C127" s="50" t="s">
        <v>30</v>
      </c>
      <c r="D127" s="50" t="s">
        <v>32</v>
      </c>
      <c r="E127" s="50" t="s">
        <v>34</v>
      </c>
      <c r="F127" s="50" t="s">
        <v>36</v>
      </c>
    </row>
    <row r="128" customFormat="false" ht="13.8" hidden="false" customHeight="false" outlineLevel="0" collapsed="false">
      <c r="A128" s="51" t="n">
        <v>44927</v>
      </c>
      <c r="B128" s="52" t="n">
        <v>408199.2</v>
      </c>
      <c r="C128" s="53" t="n">
        <v>24040</v>
      </c>
      <c r="D128" s="52" t="n">
        <v>16.98</v>
      </c>
      <c r="E128" s="54" t="n">
        <v>4580</v>
      </c>
      <c r="F128" s="55" t="n">
        <v>4330.85</v>
      </c>
    </row>
    <row r="129" customFormat="false" ht="13.8" hidden="false" customHeight="false" outlineLevel="0" collapsed="false">
      <c r="A129" s="56" t="n">
        <v>44955</v>
      </c>
      <c r="B129" s="44" t="n">
        <v>408080.34</v>
      </c>
      <c r="C129" s="1" t="n">
        <v>24033</v>
      </c>
      <c r="D129" s="44" t="n">
        <v>16.98</v>
      </c>
      <c r="E129" s="12" t="n">
        <v>4580.75</v>
      </c>
      <c r="F129" s="57" t="n">
        <v>4331.56</v>
      </c>
    </row>
    <row r="130" customFormat="false" ht="13.8" hidden="false" customHeight="false" outlineLevel="0" collapsed="false">
      <c r="A130" s="56" t="n">
        <v>44983</v>
      </c>
      <c r="B130" s="44" t="n">
        <v>426554.58</v>
      </c>
      <c r="C130" s="1" t="n">
        <v>25121</v>
      </c>
      <c r="D130" s="44" t="n">
        <v>16.98</v>
      </c>
      <c r="E130" s="12" t="n">
        <v>4579.75</v>
      </c>
      <c r="F130" s="57" t="n">
        <v>4420.83</v>
      </c>
    </row>
    <row r="131" customFormat="false" ht="13.8" hidden="false" customHeight="false" outlineLevel="0" collapsed="false">
      <c r="A131" s="56" t="n">
        <v>45011</v>
      </c>
      <c r="B131" s="44" t="n">
        <v>429627.96</v>
      </c>
      <c r="C131" s="1" t="n">
        <v>25302</v>
      </c>
      <c r="D131" s="44" t="n">
        <v>16.98</v>
      </c>
      <c r="E131" s="12" t="n">
        <v>4576.5</v>
      </c>
      <c r="F131" s="57" t="n">
        <v>4426.39</v>
      </c>
    </row>
    <row r="132" customFormat="false" ht="13.8" hidden="false" customHeight="false" outlineLevel="0" collapsed="false">
      <c r="A132" s="56" t="n">
        <v>45039</v>
      </c>
      <c r="B132" s="44" t="n">
        <v>454233.38</v>
      </c>
      <c r="C132" s="1" t="n">
        <v>25433</v>
      </c>
      <c r="D132" s="44" t="n">
        <v>17.86</v>
      </c>
      <c r="E132" s="12" t="n">
        <v>4569.25</v>
      </c>
      <c r="F132" s="57" t="n">
        <v>4428.52</v>
      </c>
    </row>
    <row r="133" customFormat="false" ht="13.8" hidden="false" customHeight="false" outlineLevel="0" collapsed="false">
      <c r="A133" s="56" t="n">
        <v>45067</v>
      </c>
      <c r="B133" s="44" t="n">
        <v>509239.48</v>
      </c>
      <c r="C133" s="1" t="n">
        <v>25513</v>
      </c>
      <c r="D133" s="44" t="n">
        <v>19.96</v>
      </c>
      <c r="E133" s="12" t="n">
        <v>4564.5</v>
      </c>
      <c r="F133" s="57" t="n">
        <v>4382.83</v>
      </c>
    </row>
    <row r="134" customFormat="false" ht="13.8" hidden="false" customHeight="false" outlineLevel="0" collapsed="false">
      <c r="A134" s="56" t="n">
        <v>45095</v>
      </c>
      <c r="B134" s="44" t="n">
        <v>511591.08</v>
      </c>
      <c r="C134" s="1" t="n">
        <v>25554</v>
      </c>
      <c r="D134" s="44" t="n">
        <v>20.02</v>
      </c>
      <c r="E134" s="12" t="n">
        <v>4560.75</v>
      </c>
      <c r="F134" s="57" t="n">
        <v>4395.65</v>
      </c>
    </row>
    <row r="135" customFormat="false" ht="13.8" hidden="false" customHeight="false" outlineLevel="0" collapsed="false">
      <c r="A135" s="56" t="n">
        <v>45123</v>
      </c>
      <c r="B135" s="44" t="n">
        <v>511150.64</v>
      </c>
      <c r="C135" s="1" t="n">
        <v>25532</v>
      </c>
      <c r="D135" s="44" t="n">
        <v>20.02</v>
      </c>
      <c r="E135" s="12" t="n">
        <v>4560</v>
      </c>
      <c r="F135" s="57" t="n">
        <v>4388.09</v>
      </c>
    </row>
    <row r="136" customFormat="false" ht="13.8" hidden="false" customHeight="false" outlineLevel="0" collapsed="false">
      <c r="A136" s="56" t="n">
        <v>45151</v>
      </c>
      <c r="B136" s="44" t="n">
        <v>524644.12</v>
      </c>
      <c r="C136" s="1" t="n">
        <v>26206</v>
      </c>
      <c r="D136" s="44" t="n">
        <v>20.02</v>
      </c>
      <c r="E136" s="12" t="n">
        <v>4560</v>
      </c>
      <c r="F136" s="57" t="n">
        <v>4346.14</v>
      </c>
    </row>
    <row r="137" customFormat="false" ht="13.8" hidden="false" customHeight="false" outlineLevel="0" collapsed="false">
      <c r="A137" s="56" t="n">
        <v>45179</v>
      </c>
      <c r="B137" s="44" t="n">
        <v>509388.88</v>
      </c>
      <c r="C137" s="1" t="n">
        <v>25444</v>
      </c>
      <c r="D137" s="44" t="n">
        <v>20.02</v>
      </c>
      <c r="E137" s="12" t="n">
        <v>4559</v>
      </c>
      <c r="F137" s="57" t="n">
        <v>4345.18</v>
      </c>
    </row>
    <row r="138" customFormat="false" ht="13.8" hidden="false" customHeight="false" outlineLevel="0" collapsed="false">
      <c r="A138" s="56" t="n">
        <v>45207</v>
      </c>
      <c r="B138" s="44" t="n">
        <v>523122.6</v>
      </c>
      <c r="C138" s="1" t="n">
        <v>26130</v>
      </c>
      <c r="D138" s="44" t="n">
        <v>20.02</v>
      </c>
      <c r="E138" s="12" t="n">
        <v>4558.5</v>
      </c>
      <c r="F138" s="57" t="n">
        <v>4335.59</v>
      </c>
    </row>
    <row r="139" customFormat="false" ht="13.8" hidden="false" customHeight="false" outlineLevel="0" collapsed="false">
      <c r="A139" s="56" t="n">
        <v>45235</v>
      </c>
      <c r="B139" s="44" t="n">
        <v>515755.24</v>
      </c>
      <c r="C139" s="1" t="n">
        <v>25762</v>
      </c>
      <c r="D139" s="44" t="n">
        <v>20.02</v>
      </c>
      <c r="E139" s="12" t="n">
        <v>4558</v>
      </c>
      <c r="F139" s="57" t="n">
        <v>4298.19</v>
      </c>
    </row>
    <row r="140" customFormat="false" ht="13.8" hidden="false" customHeight="false" outlineLevel="0" collapsed="false">
      <c r="A140" s="56" t="n">
        <v>45263</v>
      </c>
      <c r="B140" s="44" t="n">
        <v>522441.92</v>
      </c>
      <c r="C140" s="1" t="n">
        <v>26096</v>
      </c>
      <c r="D140" s="44" t="n">
        <v>20.02</v>
      </c>
      <c r="E140" s="12" t="n">
        <v>4557.5</v>
      </c>
      <c r="F140" s="57" t="n">
        <v>4273.57</v>
      </c>
    </row>
    <row r="141" customFormat="false" ht="13.8" hidden="false" customHeight="false" outlineLevel="0" collapsed="false">
      <c r="A141" s="58" t="n">
        <v>45291</v>
      </c>
      <c r="B141" s="59" t="n">
        <v>517577.06</v>
      </c>
      <c r="C141" s="60" t="n">
        <v>25853</v>
      </c>
      <c r="D141" s="59" t="n">
        <v>20.02</v>
      </c>
      <c r="E141" s="61" t="n">
        <v>4557</v>
      </c>
      <c r="F141" s="62" t="n">
        <v>4246.21</v>
      </c>
    </row>
    <row r="142" customFormat="false" ht="13.8" hidden="false" customHeight="false" outlineLevel="0" collapsed="false"/>
    <row r="143" customFormat="false" ht="13.8" hidden="false" customHeight="true" outlineLevel="0" collapsed="false">
      <c r="A143" s="1" t="s">
        <v>73</v>
      </c>
      <c r="B143" s="44" t="n">
        <f aca="false">SUM(B128:B131)/SUM(C128:C131)</f>
        <v>16.98</v>
      </c>
      <c r="D143" s="64" t="s">
        <v>87</v>
      </c>
      <c r="E143" s="64"/>
      <c r="F143" s="64"/>
    </row>
    <row r="144" customFormat="false" ht="13.8" hidden="false" customHeight="false" outlineLevel="0" collapsed="false">
      <c r="A144" s="1" t="s">
        <v>75</v>
      </c>
      <c r="B144" s="44" t="n">
        <f aca="false">SUM(B133:B141)/SUM(C133:C141)</f>
        <v>20.0134043689948</v>
      </c>
      <c r="D144" s="64"/>
      <c r="E144" s="64"/>
      <c r="F144" s="64"/>
    </row>
    <row r="145" customFormat="false" ht="13.8" hidden="false" customHeight="false" outlineLevel="0" collapsed="false">
      <c r="A145" s="1" t="s">
        <v>76</v>
      </c>
      <c r="B145" s="27" t="n">
        <f aca="false">(B144-B143)/B143</f>
        <v>0.178645722555641</v>
      </c>
      <c r="D145" s="64"/>
      <c r="E145" s="64"/>
      <c r="F145" s="64"/>
    </row>
    <row r="146" customFormat="false" ht="13.8" hidden="false" customHeight="false" outlineLevel="0" collapsed="false">
      <c r="D146" s="64"/>
      <c r="E146" s="64"/>
      <c r="F146" s="64"/>
    </row>
    <row r="147" customFormat="false" ht="13.8" hidden="false" customHeight="false" outlineLevel="0" collapsed="false">
      <c r="A147" s="1" t="s">
        <v>77</v>
      </c>
      <c r="B147" s="66" t="n">
        <f aca="false">AVERAGE(C130:C131)</f>
        <v>25211.5</v>
      </c>
      <c r="D147" s="64"/>
      <c r="E147" s="64"/>
      <c r="F147" s="64"/>
    </row>
    <row r="148" customFormat="false" ht="13.8" hidden="false" customHeight="false" outlineLevel="0" collapsed="false">
      <c r="A148" s="1" t="s">
        <v>78</v>
      </c>
      <c r="B148" s="66" t="n">
        <f aca="false">AVERAGE(C133:C141)</f>
        <v>25787.7777777778</v>
      </c>
      <c r="D148" s="64"/>
      <c r="E148" s="64"/>
      <c r="F148" s="64"/>
    </row>
    <row r="149" customFormat="false" ht="13.8" hidden="false" customHeight="false" outlineLevel="0" collapsed="false">
      <c r="A149" s="1" t="s">
        <v>79</v>
      </c>
      <c r="B149" s="27" t="n">
        <f aca="false">(B148-B147)/B147</f>
        <v>0.0228577346757542</v>
      </c>
      <c r="D149" s="64"/>
      <c r="E149" s="64"/>
      <c r="F149" s="64"/>
    </row>
    <row r="150" customFormat="false" ht="13.8" hidden="false" customHeight="false" outlineLevel="0" collapsed="false">
      <c r="D150" s="64"/>
      <c r="E150" s="64"/>
      <c r="F150" s="64"/>
    </row>
    <row r="151" customFormat="false" ht="13.8" hidden="false" customHeight="false" outlineLevel="0" collapsed="false">
      <c r="D151" s="64"/>
      <c r="E151" s="64"/>
      <c r="F151" s="64"/>
    </row>
    <row r="152" customFormat="false" ht="13.8" hidden="false" customHeight="false" outlineLevel="0" collapsed="false">
      <c r="D152" s="64"/>
      <c r="E152" s="64"/>
      <c r="F152" s="64"/>
    </row>
    <row r="153" customFormat="false" ht="13.8" hidden="false" customHeight="false" outlineLevel="0" collapsed="false">
      <c r="D153" s="64"/>
      <c r="E153" s="64"/>
      <c r="F153" s="64"/>
    </row>
  </sheetData>
  <mergeCells count="4">
    <mergeCell ref="D21:F31"/>
    <mergeCell ref="D61:F71"/>
    <mergeCell ref="D102:F112"/>
    <mergeCell ref="D143:F15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F9D4"/>
    <pageSetUpPr fitToPage="false"/>
  </sheetPr>
  <dimension ref="A1:J3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I15" activeCellId="0" sqref="I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16"/>
  </cols>
  <sheetData>
    <row r="1" customFormat="false" ht="24.05" hidden="false" customHeight="true" outlineLevel="0" collapsed="false">
      <c r="A1" s="69" t="s">
        <v>88</v>
      </c>
      <c r="B1" s="69"/>
      <c r="C1" s="69"/>
      <c r="D1" s="69"/>
      <c r="E1" s="69"/>
      <c r="F1" s="69"/>
      <c r="G1" s="69"/>
      <c r="H1" s="69"/>
      <c r="I1" s="69"/>
      <c r="J1" s="69"/>
    </row>
    <row r="2" customFormat="false" ht="13.8" hidden="false" customHeight="false" outlineLevel="0" collapsed="false">
      <c r="A2" s="70" t="s">
        <v>89</v>
      </c>
      <c r="B2" s="70"/>
      <c r="C2" s="70"/>
      <c r="D2" s="70"/>
      <c r="E2" s="70"/>
      <c r="F2" s="70"/>
      <c r="G2" s="70"/>
      <c r="H2" s="70"/>
      <c r="I2" s="70"/>
      <c r="J2" s="70"/>
    </row>
    <row r="4" customFormat="false" ht="24.05" hidden="false" customHeight="true" outlineLevel="0" collapsed="false">
      <c r="A4" s="71" t="s">
        <v>90</v>
      </c>
      <c r="B4" s="71"/>
      <c r="C4" s="71"/>
      <c r="D4" s="71"/>
      <c r="E4" s="71"/>
      <c r="F4" s="71"/>
      <c r="G4" s="71"/>
      <c r="H4" s="71"/>
      <c r="I4" s="71"/>
      <c r="J4" s="71"/>
    </row>
    <row r="5" customFormat="false" ht="24.05" hidden="false" customHeight="true" outlineLevel="0" collapsed="false">
      <c r="A5" s="71" t="s">
        <v>91</v>
      </c>
      <c r="B5" s="71"/>
      <c r="C5" s="71"/>
      <c r="D5" s="71"/>
      <c r="E5" s="71"/>
      <c r="F5" s="71"/>
      <c r="G5" s="71"/>
      <c r="H5" s="71"/>
      <c r="I5" s="71"/>
      <c r="J5" s="71"/>
    </row>
    <row r="6" customFormat="false" ht="24.05" hidden="false" customHeight="true" outlineLevel="0" collapsed="false">
      <c r="A6" s="71" t="s">
        <v>92</v>
      </c>
      <c r="B6" s="71"/>
      <c r="C6" s="71"/>
      <c r="D6" s="71"/>
      <c r="E6" s="71"/>
      <c r="F6" s="71"/>
      <c r="G6" s="71"/>
      <c r="H6" s="71"/>
      <c r="I6" s="71"/>
      <c r="J6" s="71"/>
    </row>
    <row r="7" customFormat="false" ht="24.05" hidden="false" customHeight="true" outlineLevel="0" collapsed="false">
      <c r="A7" s="72" t="s">
        <v>93</v>
      </c>
      <c r="B7" s="72"/>
      <c r="C7" s="72"/>
      <c r="D7" s="72"/>
      <c r="E7" s="72"/>
      <c r="F7" s="72"/>
      <c r="G7" s="72"/>
      <c r="H7" s="72"/>
      <c r="I7" s="72"/>
      <c r="J7" s="72"/>
    </row>
    <row r="9" customFormat="false" ht="35.45" hidden="false" customHeight="true" outlineLevel="0" collapsed="false">
      <c r="A9" s="71" t="s">
        <v>94</v>
      </c>
      <c r="B9" s="71"/>
      <c r="C9" s="71"/>
      <c r="D9" s="71"/>
      <c r="E9" s="71"/>
      <c r="F9" s="71"/>
      <c r="G9" s="71"/>
      <c r="H9" s="71"/>
      <c r="I9" s="71"/>
      <c r="J9" s="71"/>
    </row>
    <row r="10" customFormat="false" ht="24.05" hidden="false" customHeight="true" outlineLevel="0" collapsed="false">
      <c r="A10" s="71" t="s">
        <v>95</v>
      </c>
      <c r="B10" s="71"/>
      <c r="C10" s="71"/>
      <c r="D10" s="71"/>
      <c r="E10" s="71"/>
      <c r="F10" s="71"/>
      <c r="G10" s="71"/>
      <c r="H10" s="71"/>
      <c r="I10" s="71"/>
      <c r="J10" s="71"/>
    </row>
    <row r="11" customFormat="false" ht="24.05" hidden="false" customHeight="true" outlineLevel="0" collapsed="false">
      <c r="A11" s="73" t="s">
        <v>96</v>
      </c>
      <c r="B11" s="73"/>
      <c r="C11" s="73"/>
      <c r="D11" s="73"/>
      <c r="E11" s="73"/>
      <c r="F11" s="73"/>
      <c r="G11" s="73"/>
      <c r="H11" s="73"/>
      <c r="I11" s="73"/>
      <c r="J11" s="73"/>
    </row>
    <row r="14" customFormat="false" ht="15" hidden="false" customHeight="false" outlineLevel="0" collapsed="false">
      <c r="A14" s="2" t="s">
        <v>97</v>
      </c>
    </row>
    <row r="15" customFormat="false" ht="13.8" hidden="false" customHeight="false" outlineLevel="0" collapsed="false">
      <c r="A15" s="1" t="s">
        <v>98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74" t="s">
        <v>99</v>
      </c>
      <c r="B17" s="53"/>
      <c r="C17" s="22"/>
    </row>
    <row r="18" customFormat="false" ht="13.8" hidden="false" customHeight="false" outlineLevel="0" collapsed="false">
      <c r="A18" s="75" t="s">
        <v>100</v>
      </c>
      <c r="B18" s="76" t="n">
        <v>19.97</v>
      </c>
      <c r="C18" s="28" t="s">
        <v>101</v>
      </c>
    </row>
    <row r="19" customFormat="false" ht="13.8" hidden="false" customHeight="false" outlineLevel="0" collapsed="false">
      <c r="A19" s="75" t="s">
        <v>102</v>
      </c>
      <c r="B19" s="77" t="n">
        <v>10</v>
      </c>
      <c r="C19" s="28" t="s">
        <v>103</v>
      </c>
    </row>
    <row r="20" customFormat="false" ht="13.8" hidden="false" customHeight="false" outlineLevel="0" collapsed="false">
      <c r="A20" s="75" t="s">
        <v>104</v>
      </c>
      <c r="B20" s="44" t="n">
        <f aca="false">B18*(1+B19/100)</f>
        <v>21.967</v>
      </c>
      <c r="C20" s="28" t="s">
        <v>101</v>
      </c>
    </row>
    <row r="21" customFormat="false" ht="24.05" hidden="false" customHeight="false" outlineLevel="0" collapsed="false">
      <c r="A21" s="78" t="s">
        <v>105</v>
      </c>
      <c r="B21" s="39" t="n">
        <v>10</v>
      </c>
      <c r="C21" s="42" t="s">
        <v>101</v>
      </c>
    </row>
    <row r="22" customFormat="false" ht="13.8" hidden="false" customHeight="false" outlineLevel="0" collapsed="false">
      <c r="A22" s="79"/>
      <c r="C22" s="28"/>
    </row>
    <row r="23" customFormat="false" ht="13.8" hidden="false" customHeight="false" outlineLevel="0" collapsed="false">
      <c r="A23" s="80" t="s">
        <v>106</v>
      </c>
      <c r="B23" s="53"/>
      <c r="C23" s="22"/>
    </row>
    <row r="24" customFormat="false" ht="13.8" hidden="false" customHeight="false" outlineLevel="0" collapsed="false">
      <c r="A24" s="79" t="s">
        <v>107</v>
      </c>
      <c r="B24" s="1" t="n">
        <f aca="false">B18-B21</f>
        <v>9.97</v>
      </c>
      <c r="C24" s="28" t="s">
        <v>101</v>
      </c>
    </row>
    <row r="25" customFormat="false" ht="13.8" hidden="false" customHeight="false" outlineLevel="0" collapsed="false">
      <c r="A25" s="78" t="s">
        <v>108</v>
      </c>
      <c r="B25" s="59" t="n">
        <f aca="false">B20-B21</f>
        <v>11.967</v>
      </c>
      <c r="C25" s="42" t="s">
        <v>101</v>
      </c>
    </row>
    <row r="26" customFormat="false" ht="13.8" hidden="false" customHeight="false" outlineLevel="0" collapsed="false">
      <c r="A26" s="75"/>
      <c r="C26" s="28"/>
    </row>
    <row r="27" customFormat="false" ht="13.8" hidden="false" customHeight="false" outlineLevel="0" collapsed="false">
      <c r="A27" s="74" t="s">
        <v>109</v>
      </c>
      <c r="B27" s="53"/>
      <c r="C27" s="22"/>
    </row>
    <row r="28" customFormat="false" ht="13.8" hidden="false" customHeight="false" outlineLevel="0" collapsed="false">
      <c r="A28" s="75" t="s">
        <v>110</v>
      </c>
      <c r="B28" s="1" t="n">
        <v>1000</v>
      </c>
      <c r="C28" s="28" t="s">
        <v>30</v>
      </c>
    </row>
    <row r="29" customFormat="false" ht="13.8" hidden="false" customHeight="false" outlineLevel="0" collapsed="false">
      <c r="A29" s="81" t="s">
        <v>111</v>
      </c>
      <c r="B29" s="82" t="n">
        <v>5</v>
      </c>
      <c r="C29" s="42" t="s">
        <v>103</v>
      </c>
    </row>
    <row r="30" customFormat="false" ht="13.8" hidden="false" customHeight="false" outlineLevel="0" collapsed="false">
      <c r="A30" s="75"/>
      <c r="C30" s="28"/>
    </row>
    <row r="31" customFormat="false" ht="13.8" hidden="false" customHeight="false" outlineLevel="0" collapsed="false">
      <c r="A31" s="80" t="s">
        <v>112</v>
      </c>
      <c r="B31" s="53"/>
      <c r="C31" s="22"/>
    </row>
    <row r="32" customFormat="false" ht="13.8" hidden="false" customHeight="false" outlineLevel="0" collapsed="false">
      <c r="A32" s="75" t="s">
        <v>113</v>
      </c>
      <c r="B32" s="44" t="n">
        <f aca="false">B28*B24</f>
        <v>9970</v>
      </c>
      <c r="C32" s="28" t="s">
        <v>101</v>
      </c>
    </row>
    <row r="33" customFormat="false" ht="13.8" hidden="false" customHeight="false" outlineLevel="0" collapsed="false">
      <c r="A33" s="75" t="s">
        <v>114</v>
      </c>
      <c r="B33" s="1" t="n">
        <f aca="false">(B28*(1-B29/100))*B25</f>
        <v>11368.65</v>
      </c>
      <c r="C33" s="28" t="s">
        <v>101</v>
      </c>
    </row>
    <row r="34" customFormat="false" ht="13.8" hidden="false" customHeight="false" outlineLevel="0" collapsed="false">
      <c r="A34" s="75" t="s">
        <v>115</v>
      </c>
      <c r="B34" s="1" t="n">
        <f aca="false">B33-B32</f>
        <v>1398.65</v>
      </c>
      <c r="C34" s="28" t="s">
        <v>101</v>
      </c>
    </row>
    <row r="35" customFormat="false" ht="13.8" hidden="false" customHeight="false" outlineLevel="0" collapsed="false">
      <c r="A35" s="83" t="s">
        <v>116</v>
      </c>
      <c r="B35" s="84" t="n">
        <f aca="false">(B33-B32)/B32*100</f>
        <v>14.0285857572718</v>
      </c>
      <c r="C35" s="85" t="s">
        <v>103</v>
      </c>
    </row>
    <row r="38" customFormat="false" ht="24.05" hidden="false" customHeight="true" outlineLevel="0" collapsed="false">
      <c r="A38" s="72" t="s">
        <v>117</v>
      </c>
      <c r="B38" s="72"/>
      <c r="C38" s="72"/>
      <c r="D38" s="72"/>
      <c r="E38" s="72"/>
      <c r="F38" s="72"/>
      <c r="G38" s="72"/>
      <c r="H38" s="72"/>
      <c r="I38" s="72"/>
      <c r="J38" s="72"/>
    </row>
  </sheetData>
  <mergeCells count="10">
    <mergeCell ref="A1:J1"/>
    <mergeCell ref="A2:J2"/>
    <mergeCell ref="A4:J4"/>
    <mergeCell ref="A5:J5"/>
    <mergeCell ref="A6:J6"/>
    <mergeCell ref="A7:J7"/>
    <mergeCell ref="A9:J9"/>
    <mergeCell ref="A10:J10"/>
    <mergeCell ref="A11:J11"/>
    <mergeCell ref="A38:J3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554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2024-02-23T09:57:05Z</dcterms:created>
  <dc:creator>Алексей</dc:creator>
  <dc:description/>
  <dc:language>en-US</dc:language>
  <cp:lastModifiedBy/>
  <dcterms:modified xsi:type="dcterms:W3CDTF">2026-02-13T11:42:20Z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