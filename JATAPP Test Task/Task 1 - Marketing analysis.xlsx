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<sst xmlns="http://schemas.openxmlformats.org/spreadsheetml/2006/main" count="351" uniqueCount="44">
  <si>
    <t xml:space="preserve">Monthly retention for 1-month plan</t>
  </si>
  <si>
    <t xml:space="preserve">Users</t>
  </si>
  <si>
    <t xml:space="preserve">Retention rate</t>
  </si>
  <si>
    <t xml:space="preserve">Cohort</t>
  </si>
  <si>
    <t xml:space="preserve">Cohort size</t>
  </si>
  <si>
    <t xml:space="preserve">2021-2</t>
  </si>
  <si>
    <t xml:space="preserve">2021-3</t>
  </si>
  <si>
    <t xml:space="preserve">2021-4</t>
  </si>
  <si>
    <t xml:space="preserve">2021-5</t>
  </si>
  <si>
    <t xml:space="preserve">LTV calculation</t>
  </si>
  <si>
    <t xml:space="preserve">- 4-month LTV for each of the three traffic sources (totally for 4 months and separately for each month) + a weighted average LTV across all sources</t>
  </si>
  <si>
    <t xml:space="preserve">- Make a projection of LTV for the rest of 8 months and calculate 12-month LTV</t>
  </si>
  <si>
    <t xml:space="preserve">*Note: LTV should include totally and separately: 1) Subscription and 2) Token Purchase</t>
  </si>
  <si>
    <t xml:space="preserve">Google traffic source</t>
  </si>
  <si>
    <t xml:space="preserve">Subscriptions 1-month plan</t>
  </si>
  <si>
    <t xml:space="preserve">Estimate Retention rate function Y=a*X^(-b)</t>
  </si>
  <si>
    <t xml:space="preserve">a=</t>
  </si>
  <si>
    <t xml:space="preserve">b=</t>
  </si>
  <si>
    <t xml:space="preserve">subs_sum=</t>
  </si>
  <si>
    <t xml:space="preserve">Cumulative amount</t>
  </si>
  <si>
    <t xml:space="preserve">LTV</t>
  </si>
  <si>
    <t xml:space="preserve">LTV4</t>
  </si>
  <si>
    <t xml:space="preserve">LTV12</t>
  </si>
  <si>
    <t xml:space="preserve">Weighted LTV</t>
  </si>
  <si>
    <t xml:space="preserve">Token Purchase</t>
  </si>
  <si>
    <t xml:space="preserve">Subscriptions + Token Purchase</t>
  </si>
  <si>
    <t xml:space="preserve">Snapchat traffic source</t>
  </si>
  <si>
    <t xml:space="preserve">TikTok traffic source</t>
  </si>
  <si>
    <t xml:space="preserve">Weighted LTV across all sources</t>
  </si>
  <si>
    <t xml:space="preserve">Source</t>
  </si>
  <si>
    <t xml:space="preserve">Google</t>
  </si>
  <si>
    <t xml:space="preserve">Snapchat</t>
  </si>
  <si>
    <t xml:space="preserve">TikTok</t>
  </si>
  <si>
    <t xml:space="preserve">1. LTV Breakdown Proposal</t>
  </si>
  <si>
    <t xml:space="preserve">I propose breaking down the LTV by Geo Country + Traffic Source.</t>
  </si>
  <si>
    <t xml:space="preserve">Why this is interesting: The data shows that the app has a wide geographic reach: the USA, SAU (Saudi Arabia), ARE (UAE), CAN (Canada), and others. User acquisition cost (CAC) varies across countries.</t>
  </si>
  <si>
    <t xml:space="preserve">Breaking down the LTV by country within each source will allow us to understand whether the relatively high LTV is a result of popularity in a specific country or whether this is the case across the board.</t>
  </si>
  <si>
    <t xml:space="preserve">This will help reallocate the customer acquisition budget, focusing on higher-margin channels and countries.</t>
  </si>
  <si>
    <t xml:space="preserve">2. Conclusions Based on the Results</t>
  </si>
  <si>
    <t xml:space="preserve">Snapchat is the leader in long-term value (demonstrating the highest projected LTV12) and has the largest user base (67%).</t>
  </si>
  <si>
    <t xml:space="preserve">TikTok has a slightly lower LTV than Snapchat, but its user share is 2.7 times smaller, at 25%.</t>
  </si>
  <si>
    <t xml:space="preserve">Google has the lowest projected LTV4 and LTV12 values, with a share of only 8%.</t>
  </si>
  <si>
    <t xml:space="preserve">Token Purchase LTV declines very quickly, with the Retention Rate being virtually zero by months 2-3. This means that users purchase tokens primarily early in their lifecycle (likely with their first subscription) but rarely make repeat token purchases over the long term.</t>
  </si>
  <si>
    <t xml:space="preserve">Analyzing the Retention Rate, we see that the majority of subscriber churn occurs in the first month (retention after the first month is 25-33%). This suggests that it might be worth focusing on user retention in the first 30 days.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</si>
</sst>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General"/>
    <numFmt numFmtId="167" formatCode="0.0%"/>
    <numFmt numFmtId="168" formatCode="0.0"/>
    <numFmt numFmtId="169" formatCode="0.00"/>
    <numFmt numFmtId="170" formatCode="#,##0.00"/>
  </numFmts>
  <fonts count="9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i val="true"/>
      <sz val="11"/>
      <color rgb="FF000000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F2A1"/>
        <bgColor rgb="FFF6F9D4"/>
      </patternFill>
    </fill>
    <fill>
      <patternFill patternType="solid">
        <fgColor rgb="FFDEE6EF"/>
        <bgColor rgb="FFEEEEEE"/>
      </patternFill>
    </fill>
    <fill>
      <patternFill patternType="solid">
        <fgColor rgb="FFF6F9D4"/>
        <bgColor rgb="FFEEEEEE"/>
      </patternFill>
    </fill>
    <fill>
      <patternFill patternType="solid">
        <fgColor rgb="FFEEEEEE"/>
        <bgColor rgb="FFDEE6E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7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5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6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7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9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2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2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5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6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7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9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2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5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6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7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9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2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Field" xfId="21"/>
    <cellStyle name="Pivot Table Result" xfId="22"/>
    <cellStyle name="Pivot Table Title" xfId="23"/>
    <cellStyle name="Pivot Table Value" xfId="24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350" colorId="64" zoomScale="90" zoomScaleNormal="90" zoomScalePageLayoutView="100" workbookViewId="0">
      <selection pane="topLeft" activeCell="J364" activeCellId="0" sqref="J364"/>
    </sheetView>
  </sheetViews>
  <sheetFormatPr defaultColWidth="10.4921875" defaultRowHeight="13.8" zeroHeight="false" outlineLevelRow="0" outlineLevelCol="0"/>
  <cols>
    <col collapsed="false" customWidth="true" hidden="false" outlineLevel="0" max="1" min="1" style="1" width="13.91"/>
    <col collapsed="false" customWidth="true" hidden="false" outlineLevel="0" max="5" min="2" style="1" width="8.21"/>
    <col collapsed="false" customWidth="true" hidden="false" outlineLevel="0" max="8" min="8" style="1" width="8"/>
    <col collapsed="false" customWidth="true" hidden="false" outlineLevel="0" max="12" min="9" style="1" width="8.54"/>
    <col collapsed="false" customWidth="true" hidden="false" outlineLevel="0" max="15" min="15" style="1" width="6.95"/>
    <col collapsed="false" customWidth="true" hidden="false" outlineLevel="0" max="16" min="16" style="1" width="7.78"/>
    <col collapsed="false" customWidth="true" hidden="false" outlineLevel="0" max="17" min="17" style="1" width="6.95"/>
    <col collapsed="false" customWidth="true" hidden="false" outlineLevel="0" max="18" min="18" style="1" width="10.79"/>
    <col collapsed="false" customWidth="true" hidden="false" outlineLevel="0" max="19" min="19" style="1" width="7.78"/>
    <col collapsed="false" customWidth="true" hidden="false" outlineLevel="0" max="20" min="20" style="1" width="12.43"/>
  </cols>
  <sheetData>
    <row r="1" customFormat="false" ht="16.7" hidden="false" customHeight="false" outlineLevel="0" collapsed="false">
      <c r="A1" s="2" t="s">
        <v>0</v>
      </c>
      <c r="B1" s="3"/>
      <c r="C1" s="3"/>
      <c r="D1" s="3"/>
    </row>
    <row r="2" customFormat="false" ht="13.8" hidden="false" customHeight="false" outlineLevel="0" collapsed="false"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13.8" hidden="false" customHeight="false" outlineLevel="0" collapsed="false">
      <c r="B3" s="5" t="s">
        <v>1</v>
      </c>
      <c r="C3" s="5"/>
      <c r="D3" s="5"/>
      <c r="E3" s="5"/>
      <c r="I3" s="5" t="s">
        <v>2</v>
      </c>
      <c r="J3" s="5"/>
      <c r="K3" s="5"/>
      <c r="L3" s="5"/>
    </row>
    <row r="4" customFormat="false" ht="13.8" hidden="false" customHeight="false" outlineLevel="0" collapsed="false">
      <c r="A4" s="6" t="s">
        <v>3</v>
      </c>
      <c r="B4" s="7" t="n">
        <v>0</v>
      </c>
      <c r="C4" s="7" t="n">
        <v>1</v>
      </c>
      <c r="D4" s="7" t="n">
        <v>2</v>
      </c>
      <c r="E4" s="8" t="n">
        <v>3</v>
      </c>
      <c r="F4" s="8" t="s">
        <v>4</v>
      </c>
      <c r="H4" s="6" t="s">
        <v>3</v>
      </c>
      <c r="I4" s="7" t="n">
        <v>0</v>
      </c>
      <c r="J4" s="7" t="n">
        <v>1</v>
      </c>
      <c r="K4" s="7" t="n">
        <v>2</v>
      </c>
      <c r="L4" s="8" t="n">
        <v>3</v>
      </c>
      <c r="M4" s="4"/>
      <c r="N4" s="4"/>
      <c r="O4" s="4"/>
      <c r="P4" s="4"/>
      <c r="Q4" s="4"/>
      <c r="R4" s="4"/>
      <c r="S4" s="4"/>
      <c r="T4" s="4"/>
      <c r="U4" s="4"/>
    </row>
    <row r="5" customFormat="false" ht="13.8" hidden="false" customHeight="false" outlineLevel="0" collapsed="false">
      <c r="A5" s="9" t="s">
        <v>5</v>
      </c>
      <c r="B5" s="10" t="n">
        <v>2014</v>
      </c>
      <c r="C5" s="11" t="n">
        <v>683</v>
      </c>
      <c r="D5" s="11" t="n">
        <v>472</v>
      </c>
      <c r="E5" s="12" t="n">
        <v>358</v>
      </c>
      <c r="F5" s="13" t="n">
        <f aca="false">B5</f>
        <v>2014</v>
      </c>
      <c r="H5" s="9" t="s">
        <v>5</v>
      </c>
      <c r="I5" s="14" t="n">
        <f aca="false">B5/$B5</f>
        <v>1</v>
      </c>
      <c r="J5" s="15" t="n">
        <f aca="false">C5/$B5</f>
        <v>0.339126117179742</v>
      </c>
      <c r="K5" s="15" t="n">
        <f aca="false">D5/$B5</f>
        <v>0.234359483614697</v>
      </c>
      <c r="L5" s="16" t="n">
        <f aca="false">E5/$B5</f>
        <v>0.177755710029791</v>
      </c>
    </row>
    <row r="6" customFormat="false" ht="13.8" hidden="false" customHeight="false" outlineLevel="0" collapsed="false">
      <c r="A6" s="17" t="s">
        <v>6</v>
      </c>
      <c r="B6" s="18" t="n">
        <v>2392</v>
      </c>
      <c r="C6" s="19" t="n">
        <v>758</v>
      </c>
      <c r="D6" s="19" t="n">
        <v>550</v>
      </c>
      <c r="E6" s="20"/>
      <c r="F6" s="21" t="n">
        <f aca="false">B6</f>
        <v>2392</v>
      </c>
      <c r="H6" s="17" t="s">
        <v>6</v>
      </c>
      <c r="I6" s="22" t="n">
        <f aca="false">B6/$B6</f>
        <v>1</v>
      </c>
      <c r="J6" s="23" t="n">
        <f aca="false">C6/$B6</f>
        <v>0.316889632107023</v>
      </c>
      <c r="K6" s="23" t="n">
        <f aca="false">D6/$B6</f>
        <v>0.229933110367893</v>
      </c>
      <c r="L6" s="24"/>
      <c r="M6" s="4"/>
      <c r="N6" s="4"/>
      <c r="O6" s="4"/>
      <c r="P6" s="4"/>
      <c r="Q6" s="4"/>
      <c r="R6" s="4"/>
      <c r="S6" s="4"/>
      <c r="T6" s="4"/>
      <c r="U6" s="4"/>
    </row>
    <row r="7" customFormat="false" ht="13.8" hidden="false" customHeight="false" outlineLevel="0" collapsed="false">
      <c r="A7" s="17" t="s">
        <v>7</v>
      </c>
      <c r="B7" s="18" t="n">
        <v>6848</v>
      </c>
      <c r="C7" s="19" t="n">
        <v>2046</v>
      </c>
      <c r="D7" s="19"/>
      <c r="E7" s="20"/>
      <c r="F7" s="21" t="n">
        <f aca="false">B7</f>
        <v>6848</v>
      </c>
      <c r="H7" s="17" t="s">
        <v>7</v>
      </c>
      <c r="I7" s="22" t="n">
        <f aca="false">B7/$B7</f>
        <v>1</v>
      </c>
      <c r="J7" s="23" t="n">
        <f aca="false">C7/$B7</f>
        <v>0.298773364485981</v>
      </c>
      <c r="K7" s="19"/>
      <c r="L7" s="20"/>
    </row>
    <row r="8" customFormat="false" ht="13.8" hidden="false" customHeight="false" outlineLevel="0" collapsed="false">
      <c r="A8" s="25" t="s">
        <v>8</v>
      </c>
      <c r="B8" s="26" t="n">
        <v>11227</v>
      </c>
      <c r="C8" s="27"/>
      <c r="D8" s="27"/>
      <c r="E8" s="28"/>
      <c r="F8" s="29" t="n">
        <f aca="false">B8</f>
        <v>11227</v>
      </c>
      <c r="H8" s="25" t="s">
        <v>8</v>
      </c>
      <c r="I8" s="30" t="n">
        <f aca="false">B8/$B8</f>
        <v>1</v>
      </c>
      <c r="J8" s="27"/>
      <c r="K8" s="27"/>
      <c r="L8" s="28"/>
    </row>
    <row r="11" customFormat="false" ht="17.35" hidden="false" customHeight="false" outlineLevel="0" collapsed="false">
      <c r="A11" s="2" t="s">
        <v>9</v>
      </c>
      <c r="B11" s="3"/>
      <c r="C11" s="3"/>
      <c r="D11" s="3"/>
    </row>
    <row r="12" customFormat="false" ht="13.8" hidden="false" customHeight="false" outlineLevel="0" collapsed="false">
      <c r="A12" s="1" t="s">
        <v>10</v>
      </c>
    </row>
    <row r="13" customFormat="false" ht="13.8" hidden="false" customHeight="false" outlineLevel="0" collapsed="false">
      <c r="A13" s="1" t="s">
        <v>11</v>
      </c>
    </row>
    <row r="14" customFormat="false" ht="13.8" hidden="false" customHeight="false" outlineLevel="0" collapsed="false">
      <c r="A14" s="1" t="s">
        <v>12</v>
      </c>
    </row>
    <row r="16" customFormat="false" ht="15" hidden="false" customHeight="false" outlineLevel="0" collapsed="false">
      <c r="A16" s="31" t="s">
        <v>13</v>
      </c>
      <c r="B16" s="3"/>
      <c r="C16" s="3"/>
      <c r="D16" s="3"/>
    </row>
    <row r="17" customFormat="false" ht="13.8" hidden="false" customHeight="false" outlineLevel="0" collapsed="false">
      <c r="A17" s="32" t="s">
        <v>14</v>
      </c>
    </row>
    <row r="19" customFormat="false" ht="13.8" hidden="false" customHeight="false" outlineLevel="0" collapsed="false">
      <c r="A19" s="33" t="s">
        <v>15</v>
      </c>
      <c r="B19" s="34"/>
      <c r="F19" s="33"/>
    </row>
    <row r="20" customFormat="false" ht="13.8" hidden="false" customHeight="false" outlineLevel="0" collapsed="false">
      <c r="A20" s="1" t="s">
        <v>16</v>
      </c>
      <c r="B20" s="35" t="n">
        <v>0.88</v>
      </c>
      <c r="F20" s="33"/>
    </row>
    <row r="21" customFormat="false" ht="13.8" hidden="false" customHeight="false" outlineLevel="0" collapsed="false">
      <c r="A21" s="1" t="s">
        <v>17</v>
      </c>
      <c r="B21" s="35" t="n">
        <v>1.42</v>
      </c>
      <c r="F21" s="33"/>
    </row>
    <row r="22" customFormat="false" ht="13.8" hidden="false" customHeight="false" outlineLevel="0" collapsed="false">
      <c r="A22" s="1" t="s">
        <v>18</v>
      </c>
      <c r="B22" s="35" t="n">
        <v>14.99</v>
      </c>
      <c r="F22" s="33"/>
    </row>
    <row r="23" customFormat="false" ht="13.8" hidden="false" customHeight="false" outlineLevel="0" collapsed="false">
      <c r="B23" s="35"/>
      <c r="F23" s="33"/>
    </row>
    <row r="24" customFormat="false" ht="13.8" hidden="false" customHeight="false" outlineLevel="0" collapsed="false">
      <c r="A24" s="36" t="s">
        <v>2</v>
      </c>
      <c r="B24" s="37" t="n">
        <f aca="false">AVERAGE(B26:B29)</f>
        <v>1</v>
      </c>
      <c r="C24" s="37" t="n">
        <f aca="false">AVERAGE(C26:C28)</f>
        <v>0.253449997185895</v>
      </c>
      <c r="D24" s="37" t="n">
        <f aca="false">AVERAGE(D26:D27)</f>
        <v>0.194522711748634</v>
      </c>
      <c r="E24" s="37" t="n">
        <f aca="false">AVERAGE(E26)</f>
        <v>0.135245901639344</v>
      </c>
      <c r="F24" s="38" t="n">
        <f aca="false">$B20*F25^(-$B21)</f>
        <v>0.122901585187944</v>
      </c>
      <c r="G24" s="38" t="n">
        <f aca="false">$B20*G25^(-$B21)</f>
        <v>0.0895251930099607</v>
      </c>
      <c r="H24" s="38" t="n">
        <f aca="false">$B20*H25^(-$B21)</f>
        <v>0.0691047494334933</v>
      </c>
      <c r="I24" s="38" t="n">
        <f aca="false">$B20*I25^(-$B21)</f>
        <v>0.0555192326975358</v>
      </c>
      <c r="J24" s="38" t="n">
        <f aca="false">$B20*J25^(-$B21)</f>
        <v>0.0459298355685603</v>
      </c>
      <c r="K24" s="38" t="n">
        <f aca="false">$B20*K25^(-$B21)</f>
        <v>0.0388560195294726</v>
      </c>
      <c r="L24" s="38" t="n">
        <f aca="false">$B20*L25^(-$B21)</f>
        <v>0.0334566668762094</v>
      </c>
      <c r="M24" s="38" t="n">
        <f aca="false">$B20*M25^(-$B21)</f>
        <v>0.0292216718343606</v>
      </c>
      <c r="N24" s="38" t="n">
        <f aca="false">$B20*N25^(-$B21)</f>
        <v>0.0258252956919408</v>
      </c>
    </row>
    <row r="25" customFormat="false" ht="13.8" hidden="false" customHeight="false" outlineLevel="0" collapsed="false">
      <c r="A25" s="6" t="s">
        <v>3</v>
      </c>
      <c r="B25" s="7" t="n">
        <v>0</v>
      </c>
      <c r="C25" s="7" t="n">
        <v>1</v>
      </c>
      <c r="D25" s="7" t="n">
        <v>2</v>
      </c>
      <c r="E25" s="8" t="n">
        <v>3</v>
      </c>
      <c r="F25" s="39" t="n">
        <v>4</v>
      </c>
      <c r="G25" s="40" t="n">
        <v>5</v>
      </c>
      <c r="H25" s="40" t="n">
        <v>6</v>
      </c>
      <c r="I25" s="40" t="n">
        <v>7</v>
      </c>
      <c r="J25" s="40" t="n">
        <v>8</v>
      </c>
      <c r="K25" s="40" t="n">
        <v>9</v>
      </c>
      <c r="L25" s="40" t="n">
        <v>10</v>
      </c>
      <c r="M25" s="40" t="n">
        <v>11</v>
      </c>
      <c r="N25" s="41" t="n">
        <v>12</v>
      </c>
    </row>
    <row r="26" customFormat="false" ht="13.8" hidden="false" customHeight="false" outlineLevel="0" collapsed="false">
      <c r="A26" s="9" t="s">
        <v>5</v>
      </c>
      <c r="B26" s="14" t="n">
        <f aca="false">B33/$B33</f>
        <v>1</v>
      </c>
      <c r="C26" s="15" t="n">
        <f aca="false">C33/$B33</f>
        <v>0.295081967213115</v>
      </c>
      <c r="D26" s="15" t="n">
        <f aca="false">D33/$B33</f>
        <v>0.188524590163934</v>
      </c>
      <c r="E26" s="16" t="n">
        <f aca="false">E33/$B33</f>
        <v>0.135245901639344</v>
      </c>
      <c r="F26" s="42" t="n">
        <f aca="false">IF(E$24 = 0, 0, E26*(F$24/E$24))</f>
        <v>0.122901585187944</v>
      </c>
      <c r="G26" s="43" t="n">
        <f aca="false">IF(F$24 = 0, 0, F26*(G$24/F$24))</f>
        <v>0.0895251930099607</v>
      </c>
      <c r="H26" s="43" t="n">
        <f aca="false">IF(G$24 = 0, 0, G26*(H$24/G$24))</f>
        <v>0.0691047494334933</v>
      </c>
      <c r="I26" s="43" t="n">
        <f aca="false">IF(H$24 = 0, 0, H26*(I$24/H$24))</f>
        <v>0.0555192326975358</v>
      </c>
      <c r="J26" s="43" t="n">
        <f aca="false">IF(I$24 = 0, 0, I26*(J$24/I$24))</f>
        <v>0.0459298355685603</v>
      </c>
      <c r="K26" s="43" t="n">
        <f aca="false">IF(J$24 = 0, 0, J26*(K$24/J$24))</f>
        <v>0.0388560195294726</v>
      </c>
      <c r="L26" s="43" t="n">
        <f aca="false">IF(K$24 = 0, 0, K26*(L$24/K$24))</f>
        <v>0.0334566668762094</v>
      </c>
      <c r="M26" s="43" t="n">
        <f aca="false">IF(L$24 = 0, 0, L26*(M$24/L$24))</f>
        <v>0.0292216718343606</v>
      </c>
      <c r="N26" s="44" t="n">
        <f aca="false">IF(M$24 = 0, 0, M26*(N$24/M$24))</f>
        <v>0.0258252956919408</v>
      </c>
    </row>
    <row r="27" customFormat="false" ht="13.8" hidden="false" customHeight="false" outlineLevel="0" collapsed="false">
      <c r="A27" s="17" t="s">
        <v>6</v>
      </c>
      <c r="B27" s="22" t="n">
        <f aca="false">B34/$B34</f>
        <v>1</v>
      </c>
      <c r="C27" s="23" t="n">
        <f aca="false">C34/$B34</f>
        <v>0.263020833333333</v>
      </c>
      <c r="D27" s="23" t="n">
        <f aca="false">D34/$B34</f>
        <v>0.200520833333333</v>
      </c>
      <c r="E27" s="45" t="n">
        <f aca="false">IF(D$24 = 0, 0, D27*(E$24/D$24))</f>
        <v>0.139416218588829</v>
      </c>
      <c r="F27" s="46" t="n">
        <f aca="false">IF(E$24 = 0, 0, E27*(F$24/E$24))</f>
        <v>0.126691264265944</v>
      </c>
      <c r="G27" s="47" t="n">
        <f aca="false">IF(F$24 = 0, 0, F27*(G$24/F$24))</f>
        <v>0.0922857086728378</v>
      </c>
      <c r="H27" s="47" t="n">
        <f aca="false">IF(G$24 = 0, 0, G27*(H$24/G$24))</f>
        <v>0.0712355992733717</v>
      </c>
      <c r="I27" s="47" t="n">
        <f aca="false">IF(H$24 = 0, 0, H27*(I$24/H$24))</f>
        <v>0.0572311721673051</v>
      </c>
      <c r="J27" s="47" t="n">
        <f aca="false">IF(I$24 = 0, 0, I27*(J$24/I$24))</f>
        <v>0.0473460852991392</v>
      </c>
      <c r="K27" s="47" t="n">
        <f aca="false">IF(J$24 = 0, 0, J27*(K$24/J$24))</f>
        <v>0.0400541476418156</v>
      </c>
      <c r="L27" s="47" t="n">
        <f aca="false">IF(K$24 = 0, 0, K27*(L$24/K$24))</f>
        <v>0.0344883055673336</v>
      </c>
      <c r="M27" s="47" t="n">
        <f aca="false">IF(L$24 = 0, 0, L27*(M$24/L$24))</f>
        <v>0.0301227241536249</v>
      </c>
      <c r="N27" s="45" t="n">
        <f aca="false">IF(M$24 = 0, 0, M27*(N$24/M$24))</f>
        <v>0.0266216205124648</v>
      </c>
    </row>
    <row r="28" customFormat="false" ht="13.8" hidden="false" customHeight="false" outlineLevel="0" collapsed="false">
      <c r="A28" s="17" t="s">
        <v>7</v>
      </c>
      <c r="B28" s="22" t="n">
        <f aca="false">B35/$B35</f>
        <v>1</v>
      </c>
      <c r="C28" s="23" t="n">
        <f aca="false">C35/$B35</f>
        <v>0.202247191011236</v>
      </c>
      <c r="D28" s="47" t="n">
        <f aca="false">IF(C$24 = 0, 0, C28*(D$24/C$24))</f>
        <v>0.155224590553828</v>
      </c>
      <c r="E28" s="45" t="n">
        <f aca="false">IF(D$24 = 0, 0, D28*(E$24/D$24))</f>
        <v>0.10792307755394</v>
      </c>
      <c r="F28" s="46" t="n">
        <f aca="false">IF(E$24 = 0, 0, E28*(F$24/E$24))</f>
        <v>0.0980726007144465</v>
      </c>
      <c r="G28" s="47" t="n">
        <f aca="false">IF(F$24 = 0, 0, F28*(G$24/F$24))</f>
        <v>0.071439017605209</v>
      </c>
      <c r="H28" s="47" t="n">
        <f aca="false">IF(G$24 = 0, 0, G28*(H$24/G$24))</f>
        <v>0.0551439795369513</v>
      </c>
      <c r="I28" s="47" t="n">
        <f aca="false">IF(H$24 = 0, 0, H28*(I$24/H$24))</f>
        <v>0.0443030537969984</v>
      </c>
      <c r="J28" s="47" t="n">
        <f aca="false">IF(I$24 = 0, 0, I28*(J$24/I$24))</f>
        <v>0.0366509383724162</v>
      </c>
      <c r="K28" s="47" t="n">
        <f aca="false">IF(J$24 = 0, 0, J28*(K$24/J$24))</f>
        <v>0.0310061980310446</v>
      </c>
      <c r="L28" s="47" t="n">
        <f aca="false">IF(K$24 = 0, 0, K28*(L$24/K$24))</f>
        <v>0.0266976404475912</v>
      </c>
      <c r="M28" s="47" t="n">
        <f aca="false">IF(L$24 = 0, 0, L28*(M$24/L$24))</f>
        <v>0.0233182131022746</v>
      </c>
      <c r="N28" s="45" t="n">
        <f aca="false">IF(M$24 = 0, 0, M28*(N$24/M$24))</f>
        <v>0.020607984094388</v>
      </c>
    </row>
    <row r="29" customFormat="false" ht="13.8" hidden="false" customHeight="false" outlineLevel="0" collapsed="false">
      <c r="A29" s="25" t="s">
        <v>8</v>
      </c>
      <c r="B29" s="30" t="n">
        <f aca="false">B36/$B36</f>
        <v>1</v>
      </c>
      <c r="C29" s="48" t="n">
        <f aca="false">IF(B$24 = 0, 0, B29*(C$24/B$24))</f>
        <v>0.253449997185895</v>
      </c>
      <c r="D29" s="48" t="n">
        <f aca="false">IF(C$24 = 0, 0, C29*(D$24/C$24))</f>
        <v>0.194522711748634</v>
      </c>
      <c r="E29" s="49" t="n">
        <f aca="false">IF(D$24 = 0, 0, D29*(E$24/D$24))</f>
        <v>0.135245901639344</v>
      </c>
      <c r="F29" s="50" t="n">
        <f aca="false">IF(E$24 = 0, 0, E29*(F$24/E$24))</f>
        <v>0.122901585187944</v>
      </c>
      <c r="G29" s="48" t="n">
        <f aca="false">IF(F$24 = 0, 0, F29*(G$24/F$24))</f>
        <v>0.0895251930099607</v>
      </c>
      <c r="H29" s="48" t="n">
        <f aca="false">IF(G$24 = 0, 0, G29*(H$24/G$24))</f>
        <v>0.0691047494334933</v>
      </c>
      <c r="I29" s="48" t="n">
        <f aca="false">IF(H$24 = 0, 0, H29*(I$24/H$24))</f>
        <v>0.0555192326975358</v>
      </c>
      <c r="J29" s="48" t="n">
        <f aca="false">IF(I$24 = 0, 0, I29*(J$24/I$24))</f>
        <v>0.0459298355685603</v>
      </c>
      <c r="K29" s="48" t="n">
        <f aca="false">IF(J$24 = 0, 0, J29*(K$24/J$24))</f>
        <v>0.0388560195294726</v>
      </c>
      <c r="L29" s="48" t="n">
        <f aca="false">IF(K$24 = 0, 0, K29*(L$24/K$24))</f>
        <v>0.0334566668762094</v>
      </c>
      <c r="M29" s="48" t="n">
        <f aca="false">IF(L$24 = 0, 0, L29*(M$24/L$24))</f>
        <v>0.0292216718343606</v>
      </c>
      <c r="N29" s="49" t="n">
        <f aca="false">IF(M$24 = 0, 0, M29*(N$24/M$24))</f>
        <v>0.0258252956919408</v>
      </c>
    </row>
    <row r="31" customFormat="false" ht="13.8" hidden="false" customHeight="false" outlineLevel="0" collapsed="false">
      <c r="A31" s="36" t="s">
        <v>1</v>
      </c>
      <c r="B31" s="34"/>
    </row>
    <row r="32" customFormat="false" ht="13.8" hidden="false" customHeight="false" outlineLevel="0" collapsed="false">
      <c r="A32" s="6" t="s">
        <v>3</v>
      </c>
      <c r="B32" s="7" t="n">
        <v>0</v>
      </c>
      <c r="C32" s="7" t="n">
        <v>1</v>
      </c>
      <c r="D32" s="7" t="n">
        <v>2</v>
      </c>
      <c r="E32" s="8" t="n">
        <v>3</v>
      </c>
      <c r="F32" s="39" t="n">
        <v>4</v>
      </c>
      <c r="G32" s="40" t="n">
        <v>5</v>
      </c>
      <c r="H32" s="40" t="n">
        <v>6</v>
      </c>
      <c r="I32" s="40" t="n">
        <v>7</v>
      </c>
      <c r="J32" s="40" t="n">
        <v>8</v>
      </c>
      <c r="K32" s="40" t="n">
        <v>9</v>
      </c>
      <c r="L32" s="40" t="n">
        <v>10</v>
      </c>
      <c r="M32" s="40" t="n">
        <v>11</v>
      </c>
      <c r="N32" s="41" t="n">
        <v>12</v>
      </c>
    </row>
    <row r="33" customFormat="false" ht="13.8" hidden="false" customHeight="false" outlineLevel="0" collapsed="false">
      <c r="A33" s="9" t="s">
        <v>5</v>
      </c>
      <c r="B33" s="10" t="n">
        <v>244</v>
      </c>
      <c r="C33" s="11" t="n">
        <v>72</v>
      </c>
      <c r="D33" s="11" t="n">
        <v>46</v>
      </c>
      <c r="E33" s="12" t="n">
        <v>33</v>
      </c>
      <c r="F33" s="51" t="n">
        <f aca="false">ROUND($B33*F26,0)</f>
        <v>30</v>
      </c>
      <c r="G33" s="52" t="n">
        <f aca="false">ROUND($B33*G26,0)</f>
        <v>22</v>
      </c>
      <c r="H33" s="52" t="n">
        <f aca="false">ROUND($B33*H26,0)</f>
        <v>17</v>
      </c>
      <c r="I33" s="52" t="n">
        <f aca="false">ROUND($B33*I26,0)</f>
        <v>14</v>
      </c>
      <c r="J33" s="52" t="n">
        <f aca="false">ROUND($B33*J26,0)</f>
        <v>11</v>
      </c>
      <c r="K33" s="52" t="n">
        <f aca="false">ROUND($B33*K26,0)</f>
        <v>9</v>
      </c>
      <c r="L33" s="52" t="n">
        <f aca="false">ROUND($B33*L26,0)</f>
        <v>8</v>
      </c>
      <c r="M33" s="52" t="n">
        <f aca="false">ROUND($B33*M26,0)</f>
        <v>7</v>
      </c>
      <c r="N33" s="53" t="n">
        <f aca="false">ROUND($B33*N26,0)</f>
        <v>6</v>
      </c>
    </row>
    <row r="34" customFormat="false" ht="13.8" hidden="false" customHeight="false" outlineLevel="0" collapsed="false">
      <c r="A34" s="17" t="s">
        <v>6</v>
      </c>
      <c r="B34" s="18" t="n">
        <v>384</v>
      </c>
      <c r="C34" s="19" t="n">
        <v>101</v>
      </c>
      <c r="D34" s="19" t="n">
        <v>77</v>
      </c>
      <c r="E34" s="54" t="n">
        <f aca="false">ROUND($B34*E27,0)</f>
        <v>54</v>
      </c>
      <c r="F34" s="55" t="n">
        <f aca="false">ROUND($B34*F27,0)</f>
        <v>49</v>
      </c>
      <c r="G34" s="56" t="n">
        <f aca="false">ROUND($B34*G27,0)</f>
        <v>35</v>
      </c>
      <c r="H34" s="56" t="n">
        <f aca="false">ROUND($B34*H27,0)</f>
        <v>27</v>
      </c>
      <c r="I34" s="56" t="n">
        <f aca="false">ROUND($B34*I27,0)</f>
        <v>22</v>
      </c>
      <c r="J34" s="56" t="n">
        <f aca="false">ROUND($B34*J27,0)</f>
        <v>18</v>
      </c>
      <c r="K34" s="56" t="n">
        <f aca="false">ROUND($B34*K27,0)</f>
        <v>15</v>
      </c>
      <c r="L34" s="56" t="n">
        <f aca="false">ROUND($B34*L27,0)</f>
        <v>13</v>
      </c>
      <c r="M34" s="56" t="n">
        <f aca="false">ROUND($B34*M27,0)</f>
        <v>12</v>
      </c>
      <c r="N34" s="54" t="n">
        <f aca="false">ROUND($B34*N27,0)</f>
        <v>10</v>
      </c>
    </row>
    <row r="35" customFormat="false" ht="13.8" hidden="false" customHeight="false" outlineLevel="0" collapsed="false">
      <c r="A35" s="17" t="s">
        <v>7</v>
      </c>
      <c r="B35" s="18" t="n">
        <v>356</v>
      </c>
      <c r="C35" s="19" t="n">
        <v>72</v>
      </c>
      <c r="D35" s="56" t="n">
        <f aca="false">ROUND($B35*D28,0)</f>
        <v>55</v>
      </c>
      <c r="E35" s="54" t="n">
        <f aca="false">ROUND($B35*E28,0)</f>
        <v>38</v>
      </c>
      <c r="F35" s="55" t="n">
        <f aca="false">ROUND($B35*F28,0)</f>
        <v>35</v>
      </c>
      <c r="G35" s="56" t="n">
        <f aca="false">ROUND($B35*G28,0)</f>
        <v>25</v>
      </c>
      <c r="H35" s="56" t="n">
        <f aca="false">ROUND($B35*H28,0)</f>
        <v>20</v>
      </c>
      <c r="I35" s="56" t="n">
        <f aca="false">ROUND($B35*I28,0)</f>
        <v>16</v>
      </c>
      <c r="J35" s="56" t="n">
        <f aca="false">ROUND($B35*J28,0)</f>
        <v>13</v>
      </c>
      <c r="K35" s="56" t="n">
        <f aca="false">ROUND($B35*K28,0)</f>
        <v>11</v>
      </c>
      <c r="L35" s="56" t="n">
        <f aca="false">ROUND($B35*L28,0)</f>
        <v>10</v>
      </c>
      <c r="M35" s="56" t="n">
        <f aca="false">ROUND($B35*M28,0)</f>
        <v>8</v>
      </c>
      <c r="N35" s="54" t="n">
        <f aca="false">ROUND($B35*N28,0)</f>
        <v>7</v>
      </c>
    </row>
    <row r="36" customFormat="false" ht="13.8" hidden="false" customHeight="false" outlineLevel="0" collapsed="false">
      <c r="A36" s="25" t="s">
        <v>8</v>
      </c>
      <c r="B36" s="26" t="n">
        <v>715</v>
      </c>
      <c r="C36" s="57" t="n">
        <f aca="false">ROUND($B36*C29,0)</f>
        <v>181</v>
      </c>
      <c r="D36" s="57" t="n">
        <f aca="false">ROUND($B36*D29,0)</f>
        <v>139</v>
      </c>
      <c r="E36" s="58" t="n">
        <f aca="false">ROUND($B36*E29,0)</f>
        <v>97</v>
      </c>
      <c r="F36" s="59" t="n">
        <f aca="false">ROUND($B36*F29,0)</f>
        <v>88</v>
      </c>
      <c r="G36" s="57" t="n">
        <f aca="false">ROUND($B36*G29,0)</f>
        <v>64</v>
      </c>
      <c r="H36" s="57" t="n">
        <f aca="false">ROUND($B36*H29,0)</f>
        <v>49</v>
      </c>
      <c r="I36" s="57" t="n">
        <f aca="false">ROUND($B36*I29,0)</f>
        <v>40</v>
      </c>
      <c r="J36" s="57" t="n">
        <f aca="false">ROUND($B36*J29,0)</f>
        <v>33</v>
      </c>
      <c r="K36" s="57" t="n">
        <f aca="false">ROUND($B36*K29,0)</f>
        <v>28</v>
      </c>
      <c r="L36" s="57" t="n">
        <f aca="false">ROUND($B36*L29,0)</f>
        <v>24</v>
      </c>
      <c r="M36" s="57" t="n">
        <f aca="false">ROUND($B36*M29,0)</f>
        <v>21</v>
      </c>
      <c r="N36" s="58" t="n">
        <f aca="false">ROUND($B36*N29,0)</f>
        <v>18</v>
      </c>
    </row>
    <row r="38" customFormat="false" ht="13.8" hidden="false" customHeight="false" outlineLevel="0" collapsed="false">
      <c r="A38" s="32" t="s">
        <v>19</v>
      </c>
    </row>
    <row r="39" customFormat="false" ht="13.8" hidden="false" customHeight="false" outlineLevel="0" collapsed="false">
      <c r="A39" s="6" t="s">
        <v>3</v>
      </c>
      <c r="B39" s="7" t="n">
        <v>0</v>
      </c>
      <c r="C39" s="7" t="n">
        <v>1</v>
      </c>
      <c r="D39" s="7" t="n">
        <v>2</v>
      </c>
      <c r="E39" s="8" t="n">
        <v>3</v>
      </c>
      <c r="F39" s="39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1" t="n">
        <v>12</v>
      </c>
    </row>
    <row r="40" customFormat="false" ht="13.8" hidden="false" customHeight="false" outlineLevel="0" collapsed="false">
      <c r="A40" s="9" t="s">
        <v>5</v>
      </c>
      <c r="B40" s="60" t="n">
        <v>1949.56</v>
      </c>
      <c r="C40" s="61" t="n">
        <v>3084.85</v>
      </c>
      <c r="D40" s="61" t="n">
        <v>3804.4</v>
      </c>
      <c r="E40" s="62" t="n">
        <v>4268.1</v>
      </c>
      <c r="F40" s="63" t="n">
        <f aca="false">F33*$B$22+E40</f>
        <v>4717.8</v>
      </c>
      <c r="G40" s="64" t="n">
        <f aca="false">G33*$B$22+F40</f>
        <v>5047.58</v>
      </c>
      <c r="H40" s="64" t="n">
        <f aca="false">H33*$B$22+G40</f>
        <v>5302.41</v>
      </c>
      <c r="I40" s="64" t="n">
        <f aca="false">I33*$B$22+H40</f>
        <v>5512.27</v>
      </c>
      <c r="J40" s="64" t="n">
        <f aca="false">J33*$B$22+I40</f>
        <v>5677.16</v>
      </c>
      <c r="K40" s="64" t="n">
        <f aca="false">K33*$B$22+J40</f>
        <v>5812.07</v>
      </c>
      <c r="L40" s="64" t="n">
        <f aca="false">L33*$B$22+K40</f>
        <v>5931.99</v>
      </c>
      <c r="M40" s="64" t="n">
        <f aca="false">M33*$B$22+L40</f>
        <v>6036.92</v>
      </c>
      <c r="N40" s="65" t="n">
        <f aca="false">N33*$B$22+M40</f>
        <v>6126.86</v>
      </c>
    </row>
    <row r="41" customFormat="false" ht="13.8" hidden="false" customHeight="false" outlineLevel="0" collapsed="false">
      <c r="A41" s="17" t="s">
        <v>6</v>
      </c>
      <c r="B41" s="66" t="n">
        <v>3100.14</v>
      </c>
      <c r="C41" s="67" t="n">
        <v>4683.14</v>
      </c>
      <c r="D41" s="67" t="n">
        <v>5970.33</v>
      </c>
      <c r="E41" s="68" t="n">
        <f aca="false">E34*$B$22+D41</f>
        <v>6779.79</v>
      </c>
      <c r="F41" s="69" t="n">
        <f aca="false">F34*$B$22+E41</f>
        <v>7514.3</v>
      </c>
      <c r="G41" s="70" t="n">
        <f aca="false">G34*$B$22+F41</f>
        <v>8038.95</v>
      </c>
      <c r="H41" s="70" t="n">
        <f aca="false">H34*$B$22+G41</f>
        <v>8443.68</v>
      </c>
      <c r="I41" s="70" t="n">
        <f aca="false">I34*$B$22+H41</f>
        <v>8773.46</v>
      </c>
      <c r="J41" s="70" t="n">
        <f aca="false">J34*$B$22+I41</f>
        <v>9043.28</v>
      </c>
      <c r="K41" s="70" t="n">
        <f aca="false">K34*$B$22+J41</f>
        <v>9268.13</v>
      </c>
      <c r="L41" s="70" t="n">
        <f aca="false">L34*$B$22+K41</f>
        <v>9463</v>
      </c>
      <c r="M41" s="70" t="n">
        <f aca="false">M34*$B$22+L41</f>
        <v>9642.88</v>
      </c>
      <c r="N41" s="68" t="n">
        <f aca="false">N34*$B$22+M41</f>
        <v>9792.78</v>
      </c>
    </row>
    <row r="42" customFormat="false" ht="13.8" hidden="false" customHeight="false" outlineLevel="0" collapsed="false">
      <c r="A42" s="17" t="s">
        <v>7</v>
      </c>
      <c r="B42" s="66" t="n">
        <v>2844.43999999999</v>
      </c>
      <c r="C42" s="67" t="n">
        <v>3995.71999999999</v>
      </c>
      <c r="D42" s="70" t="n">
        <f aca="false">D35*$B$22+C42</f>
        <v>4820.16999999999</v>
      </c>
      <c r="E42" s="68" t="n">
        <f aca="false">E35*$B$22+D42</f>
        <v>5389.78999999999</v>
      </c>
      <c r="F42" s="69" t="n">
        <f aca="false">F35*$B$22+E42</f>
        <v>5914.43999999999</v>
      </c>
      <c r="G42" s="70" t="n">
        <f aca="false">G35*$B$22+F42</f>
        <v>6289.18999999999</v>
      </c>
      <c r="H42" s="70" t="n">
        <f aca="false">H35*$B$22+G42</f>
        <v>6588.98999999999</v>
      </c>
      <c r="I42" s="70" t="n">
        <f aca="false">I35*$B$22+H42</f>
        <v>6828.82999999999</v>
      </c>
      <c r="J42" s="70" t="n">
        <f aca="false">J35*$B$22+I42</f>
        <v>7023.69999999999</v>
      </c>
      <c r="K42" s="70" t="n">
        <f aca="false">K35*$B$22+J42</f>
        <v>7188.58999999999</v>
      </c>
      <c r="L42" s="70" t="n">
        <f aca="false">L35*$B$22+K42</f>
        <v>7338.48999999999</v>
      </c>
      <c r="M42" s="70" t="n">
        <f aca="false">M35*$B$22+L42</f>
        <v>7458.40999999999</v>
      </c>
      <c r="N42" s="68" t="n">
        <f aca="false">N35*$B$22+M42</f>
        <v>7563.33999999999</v>
      </c>
    </row>
    <row r="43" customFormat="false" ht="13.8" hidden="false" customHeight="false" outlineLevel="0" collapsed="false">
      <c r="A43" s="25" t="s">
        <v>8</v>
      </c>
      <c r="B43" s="71" t="n">
        <v>5856.75999999997</v>
      </c>
      <c r="C43" s="72" t="n">
        <f aca="false">C36*$B$22+B43</f>
        <v>8569.94999999997</v>
      </c>
      <c r="D43" s="72" t="n">
        <f aca="false">D36*$B$22+C43</f>
        <v>10653.56</v>
      </c>
      <c r="E43" s="73" t="n">
        <f aca="false">E36*$B$22+D43</f>
        <v>12107.59</v>
      </c>
      <c r="F43" s="74" t="n">
        <f aca="false">F36*$B$22+E43</f>
        <v>13426.71</v>
      </c>
      <c r="G43" s="72" t="n">
        <f aca="false">G36*$B$22+F43</f>
        <v>14386.07</v>
      </c>
      <c r="H43" s="72" t="n">
        <f aca="false">H36*$B$22+G43</f>
        <v>15120.58</v>
      </c>
      <c r="I43" s="72" t="n">
        <f aca="false">I36*$B$22+H43</f>
        <v>15720.18</v>
      </c>
      <c r="J43" s="72" t="n">
        <f aca="false">J36*$B$22+I43</f>
        <v>16214.85</v>
      </c>
      <c r="K43" s="72" t="n">
        <f aca="false">K36*$B$22+J43</f>
        <v>16634.57</v>
      </c>
      <c r="L43" s="72" t="n">
        <f aca="false">L36*$B$22+K43</f>
        <v>16994.33</v>
      </c>
      <c r="M43" s="72" t="n">
        <f aca="false">M36*$B$22+L43</f>
        <v>17309.12</v>
      </c>
      <c r="N43" s="73" t="n">
        <f aca="false">N36*$B$22+M43</f>
        <v>17578.94</v>
      </c>
    </row>
    <row r="45" customFormat="false" ht="13.8" hidden="false" customHeight="false" outlineLevel="0" collapsed="false">
      <c r="A45" s="32" t="s">
        <v>20</v>
      </c>
    </row>
    <row r="46" customFormat="false" ht="13.8" hidden="false" customHeight="false" outlineLevel="0" collapsed="false">
      <c r="A46" s="6" t="s">
        <v>3</v>
      </c>
      <c r="B46" s="7" t="n">
        <v>0</v>
      </c>
      <c r="C46" s="7" t="n">
        <v>1</v>
      </c>
      <c r="D46" s="7" t="n">
        <v>2</v>
      </c>
      <c r="E46" s="8" t="n">
        <v>3</v>
      </c>
      <c r="F46" s="39" t="n">
        <v>4</v>
      </c>
      <c r="G46" s="40" t="n">
        <v>5</v>
      </c>
      <c r="H46" s="40" t="n">
        <v>6</v>
      </c>
      <c r="I46" s="40" t="n">
        <v>7</v>
      </c>
      <c r="J46" s="40" t="n">
        <v>8</v>
      </c>
      <c r="K46" s="40" t="n">
        <v>9</v>
      </c>
      <c r="L46" s="40" t="n">
        <v>10</v>
      </c>
      <c r="M46" s="40" t="n">
        <v>11</v>
      </c>
      <c r="N46" s="41" t="n">
        <v>12</v>
      </c>
      <c r="O46" s="75" t="s">
        <v>21</v>
      </c>
      <c r="P46" s="75" t="s">
        <v>22</v>
      </c>
    </row>
    <row r="47" customFormat="false" ht="13.8" hidden="false" customHeight="false" outlineLevel="0" collapsed="false">
      <c r="A47" s="9" t="s">
        <v>5</v>
      </c>
      <c r="B47" s="76" t="n">
        <f aca="false">B40/$B33</f>
        <v>7.99</v>
      </c>
      <c r="C47" s="77" t="n">
        <f aca="false">C40/$B33</f>
        <v>12.6428278688525</v>
      </c>
      <c r="D47" s="77" t="n">
        <f aca="false">D40/$B33</f>
        <v>15.5918032786885</v>
      </c>
      <c r="E47" s="78" t="n">
        <f aca="false">E40/$B33</f>
        <v>17.4922131147541</v>
      </c>
      <c r="F47" s="79" t="n">
        <f aca="false">F40/$B33</f>
        <v>19.3352459016393</v>
      </c>
      <c r="G47" s="80" t="n">
        <f aca="false">G40/$B33</f>
        <v>20.6868032786885</v>
      </c>
      <c r="H47" s="80" t="n">
        <f aca="false">H40/$B33</f>
        <v>21.7311885245902</v>
      </c>
      <c r="I47" s="80" t="n">
        <f aca="false">I40/$B33</f>
        <v>22.5912704918033</v>
      </c>
      <c r="J47" s="80" t="n">
        <f aca="false">J40/$B33</f>
        <v>23.2670491803279</v>
      </c>
      <c r="K47" s="80" t="n">
        <f aca="false">K40/$B33</f>
        <v>23.8199590163934</v>
      </c>
      <c r="L47" s="80" t="n">
        <f aca="false">L40/$B33</f>
        <v>24.3114344262295</v>
      </c>
      <c r="M47" s="80" t="n">
        <f aca="false">M40/$B33</f>
        <v>24.7414754098361</v>
      </c>
      <c r="N47" s="81" t="n">
        <f aca="false">N40/$B33</f>
        <v>25.1100819672131</v>
      </c>
      <c r="O47" s="82" t="n">
        <f aca="false">E47</f>
        <v>17.4922131147541</v>
      </c>
      <c r="P47" s="82" t="n">
        <f aca="false">N47</f>
        <v>25.1100819672131</v>
      </c>
    </row>
    <row r="48" customFormat="false" ht="13.8" hidden="false" customHeight="false" outlineLevel="0" collapsed="false">
      <c r="A48" s="17" t="s">
        <v>6</v>
      </c>
      <c r="B48" s="83" t="n">
        <f aca="false">B41/$B34</f>
        <v>8.07328125</v>
      </c>
      <c r="C48" s="84" t="n">
        <f aca="false">C41/$B34</f>
        <v>12.1956770833333</v>
      </c>
      <c r="D48" s="84" t="n">
        <f aca="false">D41/$B34</f>
        <v>15.547734375</v>
      </c>
      <c r="E48" s="85" t="n">
        <f aca="false">E41/$B34</f>
        <v>17.655703125</v>
      </c>
      <c r="F48" s="86" t="n">
        <f aca="false">F41/$B34</f>
        <v>19.5684895833333</v>
      </c>
      <c r="G48" s="87" t="n">
        <f aca="false">G41/$B34</f>
        <v>20.934765625</v>
      </c>
      <c r="H48" s="87" t="n">
        <f aca="false">H41/$B34</f>
        <v>21.98875</v>
      </c>
      <c r="I48" s="87" t="n">
        <f aca="false">I41/$B34</f>
        <v>22.8475520833333</v>
      </c>
      <c r="J48" s="87" t="n">
        <f aca="false">J41/$B34</f>
        <v>23.5502083333333</v>
      </c>
      <c r="K48" s="87" t="n">
        <f aca="false">K41/$B34</f>
        <v>24.1357552083333</v>
      </c>
      <c r="L48" s="87" t="n">
        <f aca="false">L41/$B34</f>
        <v>24.6432291666667</v>
      </c>
      <c r="M48" s="87" t="n">
        <f aca="false">M41/$B34</f>
        <v>25.1116666666667</v>
      </c>
      <c r="N48" s="85" t="n">
        <f aca="false">N41/$B34</f>
        <v>25.50203125</v>
      </c>
      <c r="O48" s="82" t="n">
        <f aca="false">E48</f>
        <v>17.655703125</v>
      </c>
      <c r="P48" s="82" t="n">
        <f aca="false">N48</f>
        <v>25.50203125</v>
      </c>
    </row>
    <row r="49" customFormat="false" ht="13.8" hidden="false" customHeight="false" outlineLevel="0" collapsed="false">
      <c r="A49" s="17" t="s">
        <v>7</v>
      </c>
      <c r="B49" s="83" t="n">
        <f aca="false">B42/$B35</f>
        <v>7.98999999999997</v>
      </c>
      <c r="C49" s="84" t="n">
        <f aca="false">C42/$B35</f>
        <v>11.2239325842696</v>
      </c>
      <c r="D49" s="87" t="n">
        <f aca="false">D42/$B35</f>
        <v>13.5398033707865</v>
      </c>
      <c r="E49" s="85" t="n">
        <f aca="false">E42/$B35</f>
        <v>15.1398595505618</v>
      </c>
      <c r="F49" s="86" t="n">
        <f aca="false">F42/$B35</f>
        <v>16.6135955056179</v>
      </c>
      <c r="G49" s="87" t="n">
        <f aca="false">G42/$B35</f>
        <v>17.6662640449438</v>
      </c>
      <c r="H49" s="87" t="n">
        <f aca="false">H42/$B35</f>
        <v>18.5083988764045</v>
      </c>
      <c r="I49" s="87" t="n">
        <f aca="false">I42/$B35</f>
        <v>19.182106741573</v>
      </c>
      <c r="J49" s="87" t="n">
        <f aca="false">J42/$B35</f>
        <v>19.7294943820224</v>
      </c>
      <c r="K49" s="87" t="n">
        <f aca="false">K42/$B35</f>
        <v>20.1926685393258</v>
      </c>
      <c r="L49" s="87" t="n">
        <f aca="false">L42/$B35</f>
        <v>20.6137359550562</v>
      </c>
      <c r="M49" s="87" t="n">
        <f aca="false">M42/$B35</f>
        <v>20.9505898876404</v>
      </c>
      <c r="N49" s="85" t="n">
        <f aca="false">N42/$B35</f>
        <v>21.2453370786517</v>
      </c>
      <c r="O49" s="82" t="n">
        <f aca="false">E49</f>
        <v>15.1398595505618</v>
      </c>
      <c r="P49" s="82" t="n">
        <f aca="false">N49</f>
        <v>21.2453370786517</v>
      </c>
    </row>
    <row r="50" customFormat="false" ht="13.8" hidden="false" customHeight="false" outlineLevel="0" collapsed="false">
      <c r="A50" s="25" t="s">
        <v>8</v>
      </c>
      <c r="B50" s="88" t="n">
        <f aca="false">B43/$B36</f>
        <v>8.19127272727269</v>
      </c>
      <c r="C50" s="89" t="n">
        <f aca="false">C43/$B36</f>
        <v>11.985944055944</v>
      </c>
      <c r="D50" s="89" t="n">
        <f aca="false">D43/$B36</f>
        <v>14.9000839160839</v>
      </c>
      <c r="E50" s="90" t="n">
        <f aca="false">E43/$B36</f>
        <v>16.9336923076923</v>
      </c>
      <c r="F50" s="91" t="n">
        <f aca="false">F43/$B36</f>
        <v>18.7786153846153</v>
      </c>
      <c r="G50" s="89" t="n">
        <f aca="false">G43/$B36</f>
        <v>20.1203776223776</v>
      </c>
      <c r="H50" s="89" t="n">
        <f aca="false">H43/$B36</f>
        <v>21.1476643356643</v>
      </c>
      <c r="I50" s="89" t="n">
        <f aca="false">I43/$B36</f>
        <v>21.9862657342657</v>
      </c>
      <c r="J50" s="89" t="n">
        <f aca="false">J43/$B36</f>
        <v>22.6781118881119</v>
      </c>
      <c r="K50" s="89" t="n">
        <f aca="false">K43/$B36</f>
        <v>23.2651328671328</v>
      </c>
      <c r="L50" s="89" t="n">
        <f aca="false">L43/$B36</f>
        <v>23.7682937062937</v>
      </c>
      <c r="M50" s="89" t="n">
        <f aca="false">M43/$B36</f>
        <v>24.2085594405594</v>
      </c>
      <c r="N50" s="90" t="n">
        <f aca="false">N43/$B36</f>
        <v>24.58593006993</v>
      </c>
      <c r="O50" s="82" t="n">
        <f aca="false">E50</f>
        <v>16.9336923076923</v>
      </c>
      <c r="P50" s="82" t="n">
        <f aca="false">N50</f>
        <v>24.58593006993</v>
      </c>
    </row>
    <row r="51" customFormat="false" ht="13.8" hidden="false" customHeight="false" outlineLevel="0" collapsed="false">
      <c r="N51" s="92" t="s">
        <v>23</v>
      </c>
      <c r="O51" s="93" t="n">
        <f aca="false">SUMPRODUCT(O47:O50,$B33:$B36)/SUM($B33:$B36)</f>
        <v>16.8012183637434</v>
      </c>
      <c r="P51" s="93" t="n">
        <f aca="false">SUMPRODUCT(P47:P50,$B33:$B36)/SUM($B33:$B36)</f>
        <v>24.168287227781</v>
      </c>
    </row>
    <row r="52" customFormat="false" ht="15" hidden="false" customHeight="false" outlineLevel="0" collapsed="false">
      <c r="A52" s="31" t="s">
        <v>13</v>
      </c>
      <c r="B52" s="3"/>
      <c r="C52" s="3"/>
      <c r="D52" s="3"/>
    </row>
    <row r="53" customFormat="false" ht="13.8" hidden="false" customHeight="false" outlineLevel="0" collapsed="false">
      <c r="A53" s="32" t="s">
        <v>24</v>
      </c>
    </row>
    <row r="55" customFormat="false" ht="13.8" hidden="false" customHeight="false" outlineLevel="0" collapsed="false">
      <c r="A55" s="33" t="s">
        <v>15</v>
      </c>
      <c r="B55" s="34"/>
      <c r="F55" s="33"/>
    </row>
    <row r="56" customFormat="false" ht="13.8" hidden="false" customHeight="false" outlineLevel="0" collapsed="false">
      <c r="A56" s="1" t="s">
        <v>16</v>
      </c>
      <c r="B56" s="35" t="n">
        <v>0.75</v>
      </c>
      <c r="F56" s="33"/>
    </row>
    <row r="57" customFormat="false" ht="13.8" hidden="false" customHeight="false" outlineLevel="0" collapsed="false">
      <c r="A57" s="1" t="s">
        <v>17</v>
      </c>
      <c r="B57" s="35" t="n">
        <v>3.14</v>
      </c>
      <c r="F57" s="33"/>
    </row>
    <row r="58" customFormat="false" ht="13.8" hidden="false" customHeight="false" outlineLevel="0" collapsed="false">
      <c r="A58" s="1" t="s">
        <v>18</v>
      </c>
      <c r="B58" s="35" t="n">
        <v>4.99</v>
      </c>
      <c r="F58" s="33"/>
    </row>
    <row r="59" customFormat="false" ht="13.8" hidden="false" customHeight="false" outlineLevel="0" collapsed="false">
      <c r="B59" s="35"/>
      <c r="F59" s="33"/>
    </row>
    <row r="60" customFormat="false" ht="13.8" hidden="false" customHeight="false" outlineLevel="0" collapsed="false">
      <c r="A60" s="36" t="s">
        <v>2</v>
      </c>
      <c r="B60" s="37" t="n">
        <f aca="false">AVERAGE(B62:B65)</f>
        <v>1</v>
      </c>
      <c r="C60" s="37" t="n">
        <f aca="false">AVERAGE(C62:C64)</f>
        <v>0.04786918328585</v>
      </c>
      <c r="D60" s="37" t="n">
        <f aca="false">AVERAGE(D62:D63)</f>
        <v>0</v>
      </c>
      <c r="E60" s="37" t="n">
        <f aca="false">AVERAGE(E62)</f>
        <v>0.0128205128205128</v>
      </c>
      <c r="F60" s="38" t="n">
        <f aca="false">$B56*F61^(-$B57)</f>
        <v>0.00965145723360437</v>
      </c>
      <c r="G60" s="38" t="n">
        <f aca="false">$B56*G61^(-$B57)</f>
        <v>0.00478955814318969</v>
      </c>
      <c r="H60" s="38" t="n">
        <f aca="false">$B56*H61^(-$B57)</f>
        <v>0.00270188174581892</v>
      </c>
      <c r="I60" s="38" t="n">
        <f aca="false">$B56*I61^(-$B57)</f>
        <v>0.00166515021485772</v>
      </c>
      <c r="J60" s="38" t="n">
        <f aca="false">$B56*J61^(-$B57)</f>
        <v>0.00109486028952754</v>
      </c>
      <c r="K60" s="38" t="n">
        <f aca="false">$B56*K61^(-$B57)</f>
        <v>0.000756379559241256</v>
      </c>
      <c r="L60" s="38" t="n">
        <f aca="false">$B56*L61^(-$B57)</f>
        <v>0.000543326970056242</v>
      </c>
      <c r="M60" s="38" t="n">
        <f aca="false">$B56*M61^(-$B57)</f>
        <v>0.000402798859304723</v>
      </c>
      <c r="N60" s="38" t="n">
        <f aca="false">$B56*N61^(-$B57)</f>
        <v>0.000306501179966556</v>
      </c>
    </row>
    <row r="61" customFormat="false" ht="13.8" hidden="false" customHeight="false" outlineLevel="0" collapsed="false">
      <c r="A61" s="6" t="s">
        <v>3</v>
      </c>
      <c r="B61" s="7" t="n">
        <v>0</v>
      </c>
      <c r="C61" s="7" t="n">
        <v>1</v>
      </c>
      <c r="D61" s="7" t="n">
        <v>2</v>
      </c>
      <c r="E61" s="8" t="n">
        <v>3</v>
      </c>
      <c r="F61" s="39" t="n">
        <v>4</v>
      </c>
      <c r="G61" s="40" t="n">
        <v>5</v>
      </c>
      <c r="H61" s="40" t="n">
        <v>6</v>
      </c>
      <c r="I61" s="40" t="n">
        <v>7</v>
      </c>
      <c r="J61" s="40" t="n">
        <v>8</v>
      </c>
      <c r="K61" s="40" t="n">
        <v>9</v>
      </c>
      <c r="L61" s="40" t="n">
        <v>10</v>
      </c>
      <c r="M61" s="40" t="n">
        <v>11</v>
      </c>
      <c r="N61" s="41" t="n">
        <v>12</v>
      </c>
    </row>
    <row r="62" customFormat="false" ht="13.8" hidden="false" customHeight="false" outlineLevel="0" collapsed="false">
      <c r="A62" s="9" t="s">
        <v>5</v>
      </c>
      <c r="B62" s="14" t="n">
        <f aca="false">B69/$B69</f>
        <v>1</v>
      </c>
      <c r="C62" s="15" t="n">
        <f aca="false">C69/$B69</f>
        <v>0.0128205128205128</v>
      </c>
      <c r="D62" s="15" t="n">
        <f aca="false">D69/$B69</f>
        <v>0</v>
      </c>
      <c r="E62" s="16" t="n">
        <f aca="false">E69/$B69</f>
        <v>0.0128205128205128</v>
      </c>
      <c r="F62" s="42" t="n">
        <f aca="false">IF(E$60 = 0, 0, E62*(F$60/E$60))</f>
        <v>0.00965145723360437</v>
      </c>
      <c r="G62" s="43" t="n">
        <f aca="false">IF(F$60 = 0, 0, F62*(G$60/F$60))</f>
        <v>0.00478955814318969</v>
      </c>
      <c r="H62" s="43" t="n">
        <f aca="false">IF(G$60 = 0, 0, G62*(H$60/G$60))</f>
        <v>0.00270188174581892</v>
      </c>
      <c r="I62" s="43" t="n">
        <f aca="false">IF(H$60 = 0, 0, H62*(I$60/H$60))</f>
        <v>0.00166515021485772</v>
      </c>
      <c r="J62" s="43" t="n">
        <f aca="false">IF(I$60 = 0, 0, I62*(J$60/I$60))</f>
        <v>0.00109486028952754</v>
      </c>
      <c r="K62" s="43" t="n">
        <f aca="false">IF(J$60 = 0, 0, J62*(K$60/J$60))</f>
        <v>0.000756379559241256</v>
      </c>
      <c r="L62" s="43" t="n">
        <f aca="false">IF(K$60 = 0, 0, K62*(L$60/K$60))</f>
        <v>0.000543326970056242</v>
      </c>
      <c r="M62" s="43" t="n">
        <f aca="false">IF(L$60 = 0, 0, L62*(M$60/L$60))</f>
        <v>0.000402798859304723</v>
      </c>
      <c r="N62" s="44" t="n">
        <f aca="false">IF(M$60 = 0, 0, M62*(N$60/M$60))</f>
        <v>0.000306501179966556</v>
      </c>
    </row>
    <row r="63" customFormat="false" ht="13.8" hidden="false" customHeight="false" outlineLevel="0" collapsed="false">
      <c r="A63" s="17" t="s">
        <v>6</v>
      </c>
      <c r="B63" s="22" t="n">
        <f aca="false">B70/$B70</f>
        <v>1</v>
      </c>
      <c r="C63" s="23" t="n">
        <f aca="false">C70/$B70</f>
        <v>0.037037037037037</v>
      </c>
      <c r="D63" s="23" t="n">
        <f aca="false">D70/$B70</f>
        <v>0</v>
      </c>
      <c r="E63" s="45" t="n">
        <f aca="false">IF(D$60 = 0, 0, D63*(E$60/D$60))</f>
        <v>0</v>
      </c>
      <c r="F63" s="46" t="n">
        <f aca="false">IF(E$60 = 0, 0, E63*(F$60/E$60))</f>
        <v>0</v>
      </c>
      <c r="G63" s="47" t="n">
        <f aca="false">IF(F$60 = 0, 0, F63*(G$60/F$60))</f>
        <v>0</v>
      </c>
      <c r="H63" s="47" t="n">
        <f aca="false">IF(G$60 = 0, 0, G63*(H$60/G$60))</f>
        <v>0</v>
      </c>
      <c r="I63" s="47" t="n">
        <f aca="false">IF(H$60 = 0, 0, H63*(I$60/H$60))</f>
        <v>0</v>
      </c>
      <c r="J63" s="47" t="n">
        <f aca="false">IF(I$60 = 0, 0, I63*(J$60/I$60))</f>
        <v>0</v>
      </c>
      <c r="K63" s="47" t="n">
        <f aca="false">IF(J$60 = 0, 0, J63*(K$60/J$60))</f>
        <v>0</v>
      </c>
      <c r="L63" s="47" t="n">
        <f aca="false">IF(K$60 = 0, 0, K63*(L$60/K$60))</f>
        <v>0</v>
      </c>
      <c r="M63" s="47" t="n">
        <f aca="false">IF(L$60 = 0, 0, L63*(M$60/L$60))</f>
        <v>0</v>
      </c>
      <c r="N63" s="45" t="n">
        <f aca="false">IF(M$60 = 0, 0, M63*(N$60/M$60))</f>
        <v>0</v>
      </c>
    </row>
    <row r="64" customFormat="false" ht="13.8" hidden="false" customHeight="false" outlineLevel="0" collapsed="false">
      <c r="A64" s="17" t="s">
        <v>7</v>
      </c>
      <c r="B64" s="22" t="n">
        <f aca="false">B71/$B71</f>
        <v>1</v>
      </c>
      <c r="C64" s="23" t="n">
        <f aca="false">C71/$B71</f>
        <v>0.09375</v>
      </c>
      <c r="D64" s="47" t="n">
        <f aca="false">IF(C$60 = 0, 0, C64*(D$60/C$60))</f>
        <v>0</v>
      </c>
      <c r="E64" s="45" t="n">
        <f aca="false">IF(D$60 = 0, 0, D64*(E$60/D$60))</f>
        <v>0</v>
      </c>
      <c r="F64" s="46" t="n">
        <f aca="false">IF(E$60 = 0, 0, E64*(F$60/E$60))</f>
        <v>0</v>
      </c>
      <c r="G64" s="47" t="n">
        <f aca="false">IF(F$60 = 0, 0, F64*(G$60/F$60))</f>
        <v>0</v>
      </c>
      <c r="H64" s="47" t="n">
        <f aca="false">IF(G$60 = 0, 0, G64*(H$60/G$60))</f>
        <v>0</v>
      </c>
      <c r="I64" s="47" t="n">
        <f aca="false">IF(H$60 = 0, 0, H64*(I$60/H$60))</f>
        <v>0</v>
      </c>
      <c r="J64" s="47" t="n">
        <f aca="false">IF(I$60 = 0, 0, I64*(J$60/I$60))</f>
        <v>0</v>
      </c>
      <c r="K64" s="47" t="n">
        <f aca="false">IF(J$60 = 0, 0, J64*(K$60/J$60))</f>
        <v>0</v>
      </c>
      <c r="L64" s="47" t="n">
        <f aca="false">IF(K$60 = 0, 0, K64*(L$60/K$60))</f>
        <v>0</v>
      </c>
      <c r="M64" s="47" t="n">
        <f aca="false">IF(L$60 = 0, 0, L64*(M$60/L$60))</f>
        <v>0</v>
      </c>
      <c r="N64" s="45" t="n">
        <f aca="false">IF(M$60 = 0, 0, M64*(N$60/M$60))</f>
        <v>0</v>
      </c>
    </row>
    <row r="65" customFormat="false" ht="13.8" hidden="false" customHeight="false" outlineLevel="0" collapsed="false">
      <c r="A65" s="25" t="s">
        <v>8</v>
      </c>
      <c r="B65" s="30" t="n">
        <f aca="false">B72/$B72</f>
        <v>1</v>
      </c>
      <c r="C65" s="48" t="n">
        <f aca="false">IF(B$60 = 0, 0, B65*(C$60/B$60))</f>
        <v>0.04786918328585</v>
      </c>
      <c r="D65" s="48" t="n">
        <f aca="false">IF(C$60 = 0, 0, C65*(D$60/C$60))</f>
        <v>0</v>
      </c>
      <c r="E65" s="49" t="n">
        <f aca="false">IF(D$60 = 0, 0, D65*(E$60/D$60))</f>
        <v>0</v>
      </c>
      <c r="F65" s="50" t="n">
        <f aca="false">IF(E$60 = 0, 0, E65*(F$60/E$60))</f>
        <v>0</v>
      </c>
      <c r="G65" s="48" t="n">
        <f aca="false">IF(F$60 = 0, 0, F65*(G$60/F$60))</f>
        <v>0</v>
      </c>
      <c r="H65" s="48" t="n">
        <f aca="false">IF(G$60 = 0, 0, G65*(H$60/G$60))</f>
        <v>0</v>
      </c>
      <c r="I65" s="48" t="n">
        <f aca="false">IF(H$60 = 0, 0, H65*(I$60/H$60))</f>
        <v>0</v>
      </c>
      <c r="J65" s="48" t="n">
        <f aca="false">IF(I$60 = 0, 0, I65*(J$60/I$60))</f>
        <v>0</v>
      </c>
      <c r="K65" s="48" t="n">
        <f aca="false">IF(J$60 = 0, 0, J65*(K$60/J$60))</f>
        <v>0</v>
      </c>
      <c r="L65" s="48" t="n">
        <f aca="false">IF(K$60 = 0, 0, K65*(L$60/K$60))</f>
        <v>0</v>
      </c>
      <c r="M65" s="48" t="n">
        <f aca="false">IF(L$60 = 0, 0, L65*(M$60/L$60))</f>
        <v>0</v>
      </c>
      <c r="N65" s="49" t="n">
        <f aca="false">IF(M$60 = 0, 0, M65*(N$60/M$60))</f>
        <v>0</v>
      </c>
    </row>
    <row r="67" customFormat="false" ht="13.8" hidden="false" customHeight="false" outlineLevel="0" collapsed="false">
      <c r="A67" s="36" t="s">
        <v>1</v>
      </c>
      <c r="B67" s="34"/>
    </row>
    <row r="68" customFormat="false" ht="13.8" hidden="false" customHeight="false" outlineLevel="0" collapsed="false">
      <c r="A68" s="6" t="s">
        <v>3</v>
      </c>
      <c r="B68" s="7" t="n">
        <v>0</v>
      </c>
      <c r="C68" s="7" t="n">
        <v>1</v>
      </c>
      <c r="D68" s="7" t="n">
        <v>2</v>
      </c>
      <c r="E68" s="8" t="n">
        <v>3</v>
      </c>
      <c r="F68" s="39" t="n">
        <v>4</v>
      </c>
      <c r="G68" s="40" t="n">
        <v>5</v>
      </c>
      <c r="H68" s="40" t="n">
        <v>6</v>
      </c>
      <c r="I68" s="40" t="n">
        <v>7</v>
      </c>
      <c r="J68" s="40" t="n">
        <v>8</v>
      </c>
      <c r="K68" s="40" t="n">
        <v>9</v>
      </c>
      <c r="L68" s="40" t="n">
        <v>10</v>
      </c>
      <c r="M68" s="40" t="n">
        <v>11</v>
      </c>
      <c r="N68" s="41" t="n">
        <v>12</v>
      </c>
    </row>
    <row r="69" customFormat="false" ht="13.8" hidden="false" customHeight="false" outlineLevel="0" collapsed="false">
      <c r="A69" s="9" t="s">
        <v>5</v>
      </c>
      <c r="B69" s="10" t="n">
        <v>78</v>
      </c>
      <c r="C69" s="11" t="n">
        <v>1</v>
      </c>
      <c r="D69" s="11" t="n">
        <v>0</v>
      </c>
      <c r="E69" s="12" t="n">
        <v>1</v>
      </c>
      <c r="F69" s="51" t="n">
        <f aca="false">ROUND($B69*F62,0)</f>
        <v>1</v>
      </c>
      <c r="G69" s="52" t="n">
        <f aca="false">ROUND($B69*G62,0)</f>
        <v>0</v>
      </c>
      <c r="H69" s="52" t="n">
        <f aca="false">ROUND($B69*H62,0)</f>
        <v>0</v>
      </c>
      <c r="I69" s="52" t="n">
        <f aca="false">ROUND($B69*I62,0)</f>
        <v>0</v>
      </c>
      <c r="J69" s="52" t="n">
        <f aca="false">ROUND($B69*J62,0)</f>
        <v>0</v>
      </c>
      <c r="K69" s="52" t="n">
        <f aca="false">ROUND($B69*K62,0)</f>
        <v>0</v>
      </c>
      <c r="L69" s="52" t="n">
        <f aca="false">ROUND($B69*L62,0)</f>
        <v>0</v>
      </c>
      <c r="M69" s="52" t="n">
        <f aca="false">ROUND($B69*M62,0)</f>
        <v>0</v>
      </c>
      <c r="N69" s="53" t="n">
        <f aca="false">ROUND($B69*N62,0)</f>
        <v>0</v>
      </c>
    </row>
    <row r="70" customFormat="false" ht="13.8" hidden="false" customHeight="false" outlineLevel="0" collapsed="false">
      <c r="A70" s="17" t="s">
        <v>6</v>
      </c>
      <c r="B70" s="18" t="n">
        <v>135</v>
      </c>
      <c r="C70" s="19" t="n">
        <v>5</v>
      </c>
      <c r="D70" s="19" t="n">
        <v>0</v>
      </c>
      <c r="E70" s="54" t="n">
        <f aca="false">ROUND($B70*E63,0)</f>
        <v>0</v>
      </c>
      <c r="F70" s="55" t="n">
        <f aca="false">ROUND($B70*F63,0)</f>
        <v>0</v>
      </c>
      <c r="G70" s="56" t="n">
        <f aca="false">ROUND($B70*G63,0)</f>
        <v>0</v>
      </c>
      <c r="H70" s="56" t="n">
        <f aca="false">ROUND($B70*H63,0)</f>
        <v>0</v>
      </c>
      <c r="I70" s="56" t="n">
        <f aca="false">ROUND($B70*I63,0)</f>
        <v>0</v>
      </c>
      <c r="J70" s="56" t="n">
        <f aca="false">ROUND($B70*J63,0)</f>
        <v>0</v>
      </c>
      <c r="K70" s="56" t="n">
        <f aca="false">ROUND($B70*K63,0)</f>
        <v>0</v>
      </c>
      <c r="L70" s="56" t="n">
        <f aca="false">ROUND($B70*L63,0)</f>
        <v>0</v>
      </c>
      <c r="M70" s="56" t="n">
        <f aca="false">ROUND($B70*M63,0)</f>
        <v>0</v>
      </c>
      <c r="N70" s="54" t="n">
        <f aca="false">ROUND($B70*N63,0)</f>
        <v>0</v>
      </c>
    </row>
    <row r="71" customFormat="false" ht="13.8" hidden="false" customHeight="false" outlineLevel="0" collapsed="false">
      <c r="A71" s="17" t="s">
        <v>7</v>
      </c>
      <c r="B71" s="18" t="n">
        <v>128</v>
      </c>
      <c r="C71" s="19" t="n">
        <v>12</v>
      </c>
      <c r="D71" s="56" t="n">
        <f aca="false">ROUND($B71*D64,0)</f>
        <v>0</v>
      </c>
      <c r="E71" s="54" t="n">
        <f aca="false">ROUND($B71*E64,0)</f>
        <v>0</v>
      </c>
      <c r="F71" s="55" t="n">
        <f aca="false">ROUND($B71*F64,0)</f>
        <v>0</v>
      </c>
      <c r="G71" s="56" t="n">
        <f aca="false">ROUND($B71*G64,0)</f>
        <v>0</v>
      </c>
      <c r="H71" s="56" t="n">
        <f aca="false">ROUND($B71*H64,0)</f>
        <v>0</v>
      </c>
      <c r="I71" s="56" t="n">
        <f aca="false">ROUND($B71*I64,0)</f>
        <v>0</v>
      </c>
      <c r="J71" s="56" t="n">
        <f aca="false">ROUND($B71*J64,0)</f>
        <v>0</v>
      </c>
      <c r="K71" s="56" t="n">
        <f aca="false">ROUND($B71*K64,0)</f>
        <v>0</v>
      </c>
      <c r="L71" s="56" t="n">
        <f aca="false">ROUND($B71*L64,0)</f>
        <v>0</v>
      </c>
      <c r="M71" s="56" t="n">
        <f aca="false">ROUND($B71*M64,0)</f>
        <v>0</v>
      </c>
      <c r="N71" s="54" t="n">
        <f aca="false">ROUND($B71*N64,0)</f>
        <v>0</v>
      </c>
    </row>
    <row r="72" customFormat="false" ht="13.8" hidden="false" customHeight="false" outlineLevel="0" collapsed="false">
      <c r="A72" s="25" t="s">
        <v>8</v>
      </c>
      <c r="B72" s="26" t="n">
        <v>287</v>
      </c>
      <c r="C72" s="57" t="n">
        <f aca="false">ROUND($B72*C65,0)</f>
        <v>14</v>
      </c>
      <c r="D72" s="57" t="n">
        <f aca="false">ROUND($B72*D65,0)</f>
        <v>0</v>
      </c>
      <c r="E72" s="58" t="n">
        <f aca="false">ROUND($B72*E65,0)</f>
        <v>0</v>
      </c>
      <c r="F72" s="59" t="n">
        <f aca="false">ROUND($B72*F65,0)</f>
        <v>0</v>
      </c>
      <c r="G72" s="57" t="n">
        <f aca="false">ROUND($B72*G65,0)</f>
        <v>0</v>
      </c>
      <c r="H72" s="57" t="n">
        <f aca="false">ROUND($B72*H65,0)</f>
        <v>0</v>
      </c>
      <c r="I72" s="57" t="n">
        <f aca="false">ROUND($B72*I65,0)</f>
        <v>0</v>
      </c>
      <c r="J72" s="57" t="n">
        <f aca="false">ROUND($B72*J65,0)</f>
        <v>0</v>
      </c>
      <c r="K72" s="57" t="n">
        <f aca="false">ROUND($B72*K65,0)</f>
        <v>0</v>
      </c>
      <c r="L72" s="57" t="n">
        <f aca="false">ROUND($B72*L65,0)</f>
        <v>0</v>
      </c>
      <c r="M72" s="57" t="n">
        <f aca="false">ROUND($B72*M65,0)</f>
        <v>0</v>
      </c>
      <c r="N72" s="58" t="n">
        <f aca="false">ROUND($B72*N65,0)</f>
        <v>0</v>
      </c>
    </row>
    <row r="74" customFormat="false" ht="13.8" hidden="false" customHeight="false" outlineLevel="0" collapsed="false">
      <c r="A74" s="32" t="s">
        <v>19</v>
      </c>
    </row>
    <row r="75" customFormat="false" ht="13.8" hidden="false" customHeight="false" outlineLevel="0" collapsed="false">
      <c r="A75" s="6" t="s">
        <v>3</v>
      </c>
      <c r="B75" s="7" t="n">
        <v>0</v>
      </c>
      <c r="C75" s="7" t="n">
        <v>1</v>
      </c>
      <c r="D75" s="7" t="n">
        <v>2</v>
      </c>
      <c r="E75" s="8" t="n">
        <v>3</v>
      </c>
      <c r="F75" s="39" t="n">
        <v>4</v>
      </c>
      <c r="G75" s="40" t="n">
        <v>5</v>
      </c>
      <c r="H75" s="40" t="n">
        <v>6</v>
      </c>
      <c r="I75" s="40" t="n">
        <v>7</v>
      </c>
      <c r="J75" s="40" t="n">
        <v>8</v>
      </c>
      <c r="K75" s="40" t="n">
        <v>9</v>
      </c>
      <c r="L75" s="40" t="n">
        <v>10</v>
      </c>
      <c r="M75" s="40" t="n">
        <v>11</v>
      </c>
      <c r="N75" s="41" t="n">
        <v>12</v>
      </c>
    </row>
    <row r="76" customFormat="false" ht="13.8" hidden="false" customHeight="false" outlineLevel="0" collapsed="false">
      <c r="A76" s="9" t="s">
        <v>5</v>
      </c>
      <c r="B76" s="60" t="n">
        <v>399.2</v>
      </c>
      <c r="C76" s="61" t="n">
        <v>404.19</v>
      </c>
      <c r="D76" s="61" t="n">
        <v>404.19</v>
      </c>
      <c r="E76" s="62" t="n">
        <v>409.18</v>
      </c>
      <c r="F76" s="63" t="n">
        <f aca="false">F69*$B$58+E76</f>
        <v>414.17</v>
      </c>
      <c r="G76" s="64" t="n">
        <f aca="false">G69*$B$58+F76</f>
        <v>414.17</v>
      </c>
      <c r="H76" s="64" t="n">
        <f aca="false">H69*$B$58+G76</f>
        <v>414.17</v>
      </c>
      <c r="I76" s="64" t="n">
        <f aca="false">I69*$B$58+H76</f>
        <v>414.17</v>
      </c>
      <c r="J76" s="64" t="n">
        <f aca="false">J69*$B$58+I76</f>
        <v>414.17</v>
      </c>
      <c r="K76" s="64" t="n">
        <f aca="false">K69*$B$58+J76</f>
        <v>414.17</v>
      </c>
      <c r="L76" s="64" t="n">
        <f aca="false">L69*$B$58+K76</f>
        <v>414.17</v>
      </c>
      <c r="M76" s="64" t="n">
        <f aca="false">M69*$B$58+L76</f>
        <v>414.17</v>
      </c>
      <c r="N76" s="65" t="n">
        <f aca="false">N69*$B$58+M76</f>
        <v>414.17</v>
      </c>
    </row>
    <row r="77" customFormat="false" ht="13.8" hidden="false" customHeight="false" outlineLevel="0" collapsed="false">
      <c r="A77" s="17" t="s">
        <v>6</v>
      </c>
      <c r="B77" s="66" t="n">
        <v>843.31</v>
      </c>
      <c r="C77" s="67" t="n">
        <v>883.23</v>
      </c>
      <c r="D77" s="67" t="n">
        <v>878.24</v>
      </c>
      <c r="E77" s="68" t="n">
        <f aca="false">E70*$B$58+D77</f>
        <v>878.24</v>
      </c>
      <c r="F77" s="69" t="n">
        <f aca="false">F70*$B$58+E77</f>
        <v>878.24</v>
      </c>
      <c r="G77" s="70" t="n">
        <f aca="false">G70*$B$58+F77</f>
        <v>878.24</v>
      </c>
      <c r="H77" s="70" t="n">
        <f aca="false">H70*$B$58+G77</f>
        <v>878.24</v>
      </c>
      <c r="I77" s="70" t="n">
        <f aca="false">I70*$B$58+H77</f>
        <v>878.24</v>
      </c>
      <c r="J77" s="70" t="n">
        <f aca="false">J70*$B$58+I77</f>
        <v>878.24</v>
      </c>
      <c r="K77" s="70" t="n">
        <f aca="false">K70*$B$58+J77</f>
        <v>878.24</v>
      </c>
      <c r="L77" s="70" t="n">
        <f aca="false">L70*$B$58+K77</f>
        <v>878.24</v>
      </c>
      <c r="M77" s="70" t="n">
        <f aca="false">M70*$B$58+L77</f>
        <v>878.24</v>
      </c>
      <c r="N77" s="68" t="n">
        <f aca="false">N70*$B$58+M77</f>
        <v>878.24</v>
      </c>
    </row>
    <row r="78" customFormat="false" ht="13.8" hidden="false" customHeight="false" outlineLevel="0" collapsed="false">
      <c r="A78" s="17" t="s">
        <v>7</v>
      </c>
      <c r="B78" s="66" t="n">
        <v>758.480000000001</v>
      </c>
      <c r="C78" s="67" t="n">
        <v>903.190000000001</v>
      </c>
      <c r="D78" s="70" t="n">
        <f aca="false">D71*$B$58+C78</f>
        <v>903.190000000001</v>
      </c>
      <c r="E78" s="68" t="n">
        <f aca="false">E71*$B$58+D78</f>
        <v>903.190000000001</v>
      </c>
      <c r="F78" s="69" t="n">
        <f aca="false">F71*$B$58+E78</f>
        <v>903.190000000001</v>
      </c>
      <c r="G78" s="70" t="n">
        <f aca="false">G71*$B$58+F78</f>
        <v>903.190000000001</v>
      </c>
      <c r="H78" s="70" t="n">
        <f aca="false">H71*$B$58+G78</f>
        <v>903.190000000001</v>
      </c>
      <c r="I78" s="70" t="n">
        <f aca="false">I71*$B$58+H78</f>
        <v>903.190000000001</v>
      </c>
      <c r="J78" s="70" t="n">
        <f aca="false">J71*$B$58+I78</f>
        <v>903.190000000001</v>
      </c>
      <c r="K78" s="70" t="n">
        <f aca="false">K71*$B$58+J78</f>
        <v>903.190000000001</v>
      </c>
      <c r="L78" s="70" t="n">
        <f aca="false">L71*$B$58+K78</f>
        <v>903.190000000001</v>
      </c>
      <c r="M78" s="70" t="n">
        <f aca="false">M71*$B$58+L78</f>
        <v>903.190000000001</v>
      </c>
      <c r="N78" s="68" t="n">
        <f aca="false">N71*$B$58+M78</f>
        <v>903.190000000001</v>
      </c>
    </row>
    <row r="79" customFormat="false" ht="13.8" hidden="false" customHeight="false" outlineLevel="0" collapsed="false">
      <c r="A79" s="25" t="s">
        <v>8</v>
      </c>
      <c r="B79" s="71" t="n">
        <v>1866.26</v>
      </c>
      <c r="C79" s="72" t="n">
        <f aca="false">C72*$B$58+B79</f>
        <v>1936.12</v>
      </c>
      <c r="D79" s="72" t="n">
        <f aca="false">D72*$B$58+C79</f>
        <v>1936.12</v>
      </c>
      <c r="E79" s="73" t="n">
        <f aca="false">E72*$B$58+D79</f>
        <v>1936.12</v>
      </c>
      <c r="F79" s="74" t="n">
        <f aca="false">F72*$B$58+E79</f>
        <v>1936.12</v>
      </c>
      <c r="G79" s="72" t="n">
        <f aca="false">G72*$B$58+F79</f>
        <v>1936.12</v>
      </c>
      <c r="H79" s="72" t="n">
        <f aca="false">H72*$B$58+G79</f>
        <v>1936.12</v>
      </c>
      <c r="I79" s="72" t="n">
        <f aca="false">I72*$B$58+H79</f>
        <v>1936.12</v>
      </c>
      <c r="J79" s="72" t="n">
        <f aca="false">J72*$B$58+I79</f>
        <v>1936.12</v>
      </c>
      <c r="K79" s="72" t="n">
        <f aca="false">K72*$B$58+J79</f>
        <v>1936.12</v>
      </c>
      <c r="L79" s="72" t="n">
        <f aca="false">L72*$B$58+K79</f>
        <v>1936.12</v>
      </c>
      <c r="M79" s="72" t="n">
        <f aca="false">M72*$B$58+L79</f>
        <v>1936.12</v>
      </c>
      <c r="N79" s="73" t="n">
        <f aca="false">N72*$B$58+M79</f>
        <v>1936.12</v>
      </c>
    </row>
    <row r="81" customFormat="false" ht="13.8" hidden="false" customHeight="false" outlineLevel="0" collapsed="false">
      <c r="A81" s="32" t="s">
        <v>20</v>
      </c>
    </row>
    <row r="82" customFormat="false" ht="13.8" hidden="false" customHeight="false" outlineLevel="0" collapsed="false">
      <c r="A82" s="6" t="s">
        <v>3</v>
      </c>
      <c r="B82" s="7" t="n">
        <v>0</v>
      </c>
      <c r="C82" s="7" t="n">
        <v>1</v>
      </c>
      <c r="D82" s="7" t="n">
        <v>2</v>
      </c>
      <c r="E82" s="8" t="n">
        <v>3</v>
      </c>
      <c r="F82" s="39" t="n">
        <v>4</v>
      </c>
      <c r="G82" s="40" t="n">
        <v>5</v>
      </c>
      <c r="H82" s="40" t="n">
        <v>6</v>
      </c>
      <c r="I82" s="40" t="n">
        <v>7</v>
      </c>
      <c r="J82" s="40" t="n">
        <v>8</v>
      </c>
      <c r="K82" s="40" t="n">
        <v>9</v>
      </c>
      <c r="L82" s="40" t="n">
        <v>10</v>
      </c>
      <c r="M82" s="40" t="n">
        <v>11</v>
      </c>
      <c r="N82" s="41" t="n">
        <v>12</v>
      </c>
      <c r="O82" s="75" t="s">
        <v>21</v>
      </c>
      <c r="P82" s="75" t="s">
        <v>22</v>
      </c>
    </row>
    <row r="83" customFormat="false" ht="13.8" hidden="false" customHeight="false" outlineLevel="0" collapsed="false">
      <c r="A83" s="9" t="s">
        <v>5</v>
      </c>
      <c r="B83" s="76" t="n">
        <f aca="false">B76/$B69</f>
        <v>5.11794871794872</v>
      </c>
      <c r="C83" s="77" t="n">
        <f aca="false">C76/$B69</f>
        <v>5.18192307692308</v>
      </c>
      <c r="D83" s="77" t="n">
        <f aca="false">D76/$B69</f>
        <v>5.18192307692308</v>
      </c>
      <c r="E83" s="78" t="n">
        <f aca="false">E76/$B69</f>
        <v>5.24589743589744</v>
      </c>
      <c r="F83" s="79" t="n">
        <f aca="false">F76/$B69</f>
        <v>5.3098717948718</v>
      </c>
      <c r="G83" s="80" t="n">
        <f aca="false">G76/$B69</f>
        <v>5.3098717948718</v>
      </c>
      <c r="H83" s="80" t="n">
        <f aca="false">H76/$B69</f>
        <v>5.3098717948718</v>
      </c>
      <c r="I83" s="80" t="n">
        <f aca="false">I76/$B69</f>
        <v>5.3098717948718</v>
      </c>
      <c r="J83" s="80" t="n">
        <f aca="false">J76/$B69</f>
        <v>5.3098717948718</v>
      </c>
      <c r="K83" s="80" t="n">
        <f aca="false">K76/$B69</f>
        <v>5.3098717948718</v>
      </c>
      <c r="L83" s="80" t="n">
        <f aca="false">L76/$B69</f>
        <v>5.3098717948718</v>
      </c>
      <c r="M83" s="80" t="n">
        <f aca="false">M76/$B69</f>
        <v>5.3098717948718</v>
      </c>
      <c r="N83" s="81" t="n">
        <f aca="false">N76/$B69</f>
        <v>5.3098717948718</v>
      </c>
      <c r="O83" s="82" t="n">
        <f aca="false">E83</f>
        <v>5.24589743589744</v>
      </c>
      <c r="P83" s="82" t="n">
        <f aca="false">N83</f>
        <v>5.3098717948718</v>
      </c>
    </row>
    <row r="84" customFormat="false" ht="13.8" hidden="false" customHeight="false" outlineLevel="0" collapsed="false">
      <c r="A84" s="17" t="s">
        <v>6</v>
      </c>
      <c r="B84" s="83" t="n">
        <f aca="false">B77/$B70</f>
        <v>6.24674074074074</v>
      </c>
      <c r="C84" s="84" t="n">
        <f aca="false">C77/$B70</f>
        <v>6.54244444444444</v>
      </c>
      <c r="D84" s="84" t="n">
        <f aca="false">D77/$B70</f>
        <v>6.50548148148148</v>
      </c>
      <c r="E84" s="85" t="n">
        <f aca="false">E77/$B70</f>
        <v>6.50548148148148</v>
      </c>
      <c r="F84" s="86" t="n">
        <f aca="false">F77/$B70</f>
        <v>6.50548148148148</v>
      </c>
      <c r="G84" s="87" t="n">
        <f aca="false">G77/$B70</f>
        <v>6.50548148148148</v>
      </c>
      <c r="H84" s="87" t="n">
        <f aca="false">H77/$B70</f>
        <v>6.50548148148148</v>
      </c>
      <c r="I84" s="87" t="n">
        <f aca="false">I77/$B70</f>
        <v>6.50548148148148</v>
      </c>
      <c r="J84" s="87" t="n">
        <f aca="false">J77/$B70</f>
        <v>6.50548148148148</v>
      </c>
      <c r="K84" s="87" t="n">
        <f aca="false">K77/$B70</f>
        <v>6.50548148148148</v>
      </c>
      <c r="L84" s="87" t="n">
        <f aca="false">L77/$B70</f>
        <v>6.50548148148148</v>
      </c>
      <c r="M84" s="87" t="n">
        <f aca="false">M77/$B70</f>
        <v>6.50548148148148</v>
      </c>
      <c r="N84" s="85" t="n">
        <f aca="false">N77/$B70</f>
        <v>6.50548148148148</v>
      </c>
      <c r="O84" s="82" t="n">
        <f aca="false">E84</f>
        <v>6.50548148148148</v>
      </c>
      <c r="P84" s="82" t="n">
        <f aca="false">N84</f>
        <v>6.50548148148148</v>
      </c>
    </row>
    <row r="85" customFormat="false" ht="13.8" hidden="false" customHeight="false" outlineLevel="0" collapsed="false">
      <c r="A85" s="17" t="s">
        <v>7</v>
      </c>
      <c r="B85" s="83" t="n">
        <f aca="false">B78/$B71</f>
        <v>5.92562500000001</v>
      </c>
      <c r="C85" s="84" t="n">
        <f aca="false">C78/$B71</f>
        <v>7.05617187500001</v>
      </c>
      <c r="D85" s="87" t="n">
        <f aca="false">D78/$B71</f>
        <v>7.05617187500001</v>
      </c>
      <c r="E85" s="85" t="n">
        <f aca="false">E78/$B71</f>
        <v>7.05617187500001</v>
      </c>
      <c r="F85" s="86" t="n">
        <f aca="false">F78/$B71</f>
        <v>7.05617187500001</v>
      </c>
      <c r="G85" s="87" t="n">
        <f aca="false">G78/$B71</f>
        <v>7.05617187500001</v>
      </c>
      <c r="H85" s="87" t="n">
        <f aca="false">H78/$B71</f>
        <v>7.05617187500001</v>
      </c>
      <c r="I85" s="87" t="n">
        <f aca="false">I78/$B71</f>
        <v>7.05617187500001</v>
      </c>
      <c r="J85" s="87" t="n">
        <f aca="false">J78/$B71</f>
        <v>7.05617187500001</v>
      </c>
      <c r="K85" s="87" t="n">
        <f aca="false">K78/$B71</f>
        <v>7.05617187500001</v>
      </c>
      <c r="L85" s="87" t="n">
        <f aca="false">L78/$B71</f>
        <v>7.05617187500001</v>
      </c>
      <c r="M85" s="87" t="n">
        <f aca="false">M78/$B71</f>
        <v>7.05617187500001</v>
      </c>
      <c r="N85" s="85" t="n">
        <f aca="false">N78/$B71</f>
        <v>7.05617187500001</v>
      </c>
      <c r="O85" s="82" t="n">
        <f aca="false">E85</f>
        <v>7.05617187500001</v>
      </c>
      <c r="P85" s="82" t="n">
        <f aca="false">N85</f>
        <v>7.05617187500001</v>
      </c>
    </row>
    <row r="86" customFormat="false" ht="13.8" hidden="false" customHeight="false" outlineLevel="0" collapsed="false">
      <c r="A86" s="25" t="s">
        <v>8</v>
      </c>
      <c r="B86" s="88" t="n">
        <f aca="false">B79/$B72</f>
        <v>6.50264808362369</v>
      </c>
      <c r="C86" s="89" t="n">
        <f aca="false">C79/$B72</f>
        <v>6.74606271777004</v>
      </c>
      <c r="D86" s="89" t="n">
        <f aca="false">D79/$B72</f>
        <v>6.74606271777004</v>
      </c>
      <c r="E86" s="90" t="n">
        <f aca="false">E79/$B72</f>
        <v>6.74606271777004</v>
      </c>
      <c r="F86" s="91" t="n">
        <f aca="false">F79/$B72</f>
        <v>6.74606271777004</v>
      </c>
      <c r="G86" s="89" t="n">
        <f aca="false">G79/$B72</f>
        <v>6.74606271777004</v>
      </c>
      <c r="H86" s="89" t="n">
        <f aca="false">H79/$B72</f>
        <v>6.74606271777004</v>
      </c>
      <c r="I86" s="89" t="n">
        <f aca="false">I79/$B72</f>
        <v>6.74606271777004</v>
      </c>
      <c r="J86" s="89" t="n">
        <f aca="false">J79/$B72</f>
        <v>6.74606271777004</v>
      </c>
      <c r="K86" s="89" t="n">
        <f aca="false">K79/$B72</f>
        <v>6.74606271777004</v>
      </c>
      <c r="L86" s="89" t="n">
        <f aca="false">L79/$B72</f>
        <v>6.74606271777004</v>
      </c>
      <c r="M86" s="89" t="n">
        <f aca="false">M79/$B72</f>
        <v>6.74606271777004</v>
      </c>
      <c r="N86" s="90" t="n">
        <f aca="false">N79/$B72</f>
        <v>6.74606271777004</v>
      </c>
      <c r="O86" s="82" t="n">
        <f aca="false">E86</f>
        <v>6.74606271777004</v>
      </c>
      <c r="P86" s="82" t="n">
        <f aca="false">N86</f>
        <v>6.74606271777004</v>
      </c>
    </row>
    <row r="87" customFormat="false" ht="13.8" hidden="false" customHeight="false" outlineLevel="0" collapsed="false">
      <c r="A87" s="32"/>
      <c r="N87" s="92" t="s">
        <v>23</v>
      </c>
      <c r="O87" s="93" t="n">
        <f aca="false">SUMPRODUCT(O83:O86,$B69:$B72)/SUM($B69:$B72)</f>
        <v>6.57122611464968</v>
      </c>
      <c r="P87" s="93" t="n">
        <f aca="false">SUMPRODUCT(P83:P86,$B69:$B72)/SUM($B69:$B72)</f>
        <v>6.57917197452229</v>
      </c>
    </row>
    <row r="88" customFormat="false" ht="15" hidden="false" customHeight="false" outlineLevel="0" collapsed="false">
      <c r="A88" s="31" t="s">
        <v>13</v>
      </c>
      <c r="B88" s="3"/>
      <c r="C88" s="3"/>
      <c r="D88" s="3"/>
      <c r="O88" s="82"/>
      <c r="P88" s="82"/>
    </row>
    <row r="89" customFormat="false" ht="13.8" hidden="false" customHeight="false" outlineLevel="0" collapsed="false">
      <c r="A89" s="32" t="s">
        <v>25</v>
      </c>
      <c r="O89" s="82"/>
      <c r="P89" s="82"/>
    </row>
    <row r="91" customFormat="false" ht="13.8" hidden="false" customHeight="false" outlineLevel="0" collapsed="false">
      <c r="A91" s="33" t="s">
        <v>15</v>
      </c>
      <c r="B91" s="34"/>
      <c r="F91" s="33"/>
    </row>
    <row r="92" customFormat="false" ht="13.8" hidden="false" customHeight="false" outlineLevel="0" collapsed="false">
      <c r="A92" s="1" t="s">
        <v>16</v>
      </c>
      <c r="B92" s="35" t="n">
        <v>0.89</v>
      </c>
      <c r="F92" s="33"/>
    </row>
    <row r="93" customFormat="false" ht="13.8" hidden="false" customHeight="false" outlineLevel="0" collapsed="false">
      <c r="A93" s="1" t="s">
        <v>17</v>
      </c>
      <c r="B93" s="35" t="n">
        <v>1.43</v>
      </c>
      <c r="F93" s="33"/>
    </row>
    <row r="94" customFormat="false" ht="13.8" hidden="false" customHeight="false" outlineLevel="0" collapsed="false">
      <c r="B94" s="35"/>
      <c r="F94" s="33"/>
    </row>
    <row r="95" customFormat="false" ht="13.8" hidden="false" customHeight="false" outlineLevel="0" collapsed="false">
      <c r="A95" s="36" t="s">
        <v>2</v>
      </c>
      <c r="B95" s="37" t="n">
        <f aca="false">AVERAGE(B97:B100)</f>
        <v>1</v>
      </c>
      <c r="C95" s="37" t="n">
        <f aca="false">AVERAGE(C97:C99)</f>
        <v>0.260845360391588</v>
      </c>
      <c r="D95" s="37" t="n">
        <f aca="false">AVERAGE(D97:D98)</f>
        <v>0.192979139093717</v>
      </c>
      <c r="E95" s="37" t="n">
        <f aca="false">AVERAGE(E97)</f>
        <v>0.134146341463415</v>
      </c>
      <c r="F95" s="38" t="n">
        <f aca="false">$B92*F96^(-$B93)</f>
        <v>0.122586944141273</v>
      </c>
      <c r="G95" s="38" t="n">
        <f aca="false">$B92*G96^(-$B93)</f>
        <v>0.0890969629418192</v>
      </c>
      <c r="H95" s="38" t="n">
        <f aca="false">$B92*H96^(-$B93)</f>
        <v>0.0686489214837514</v>
      </c>
      <c r="I95" s="38" t="n">
        <f aca="false">$B92*I96^(-$B93)</f>
        <v>0.0550680641199164</v>
      </c>
      <c r="J95" s="38" t="n">
        <f aca="false">$B92*J96^(-$B93)</f>
        <v>0.0454958020072766</v>
      </c>
      <c r="K95" s="38" t="n">
        <f aca="false">$B92*K96^(-$B93)</f>
        <v>0.0384435263795403</v>
      </c>
      <c r="L95" s="38" t="n">
        <f aca="false">$B92*L96^(-$B93)</f>
        <v>0.0330666353896484</v>
      </c>
      <c r="M95" s="38" t="n">
        <f aca="false">$B92*M96^(-$B93)</f>
        <v>0.0288534976879987</v>
      </c>
      <c r="N95" s="38" t="n">
        <f aca="false">$B92*N96^(-$B93)</f>
        <v>0.025477735510223</v>
      </c>
    </row>
    <row r="96" customFormat="false" ht="13.8" hidden="false" customHeight="false" outlineLevel="0" collapsed="false">
      <c r="A96" s="6" t="s">
        <v>3</v>
      </c>
      <c r="B96" s="7" t="n">
        <v>0</v>
      </c>
      <c r="C96" s="7" t="n">
        <v>1</v>
      </c>
      <c r="D96" s="7" t="n">
        <v>2</v>
      </c>
      <c r="E96" s="8" t="n">
        <v>3</v>
      </c>
      <c r="F96" s="39" t="n">
        <v>4</v>
      </c>
      <c r="G96" s="40" t="n">
        <v>5</v>
      </c>
      <c r="H96" s="40" t="n">
        <v>6</v>
      </c>
      <c r="I96" s="40" t="n">
        <v>7</v>
      </c>
      <c r="J96" s="40" t="n">
        <v>8</v>
      </c>
      <c r="K96" s="40" t="n">
        <v>9</v>
      </c>
      <c r="L96" s="40" t="n">
        <v>10</v>
      </c>
      <c r="M96" s="40" t="n">
        <v>11</v>
      </c>
      <c r="N96" s="41" t="n">
        <v>12</v>
      </c>
    </row>
    <row r="97" customFormat="false" ht="13.8" hidden="false" customHeight="false" outlineLevel="0" collapsed="false">
      <c r="A97" s="9" t="s">
        <v>5</v>
      </c>
      <c r="B97" s="14" t="n">
        <f aca="false">B104/$B104</f>
        <v>1</v>
      </c>
      <c r="C97" s="15" t="n">
        <f aca="false">C104/$B104</f>
        <v>0.296747967479675</v>
      </c>
      <c r="D97" s="15" t="n">
        <f aca="false">D104/$B104</f>
        <v>0.186991869918699</v>
      </c>
      <c r="E97" s="16" t="n">
        <f aca="false">E104/$B104</f>
        <v>0.134146341463415</v>
      </c>
      <c r="F97" s="42" t="n">
        <f aca="false">IF(E$95 = 0, 0, E97*(F$95/E$95))</f>
        <v>0.122586944141273</v>
      </c>
      <c r="G97" s="43" t="n">
        <f aca="false">IF(F$95 = 0, 0, F97*(G$95/F$95))</f>
        <v>0.0890969629418192</v>
      </c>
      <c r="H97" s="43" t="n">
        <f aca="false">IF(G$95 = 0, 0, G97*(H$95/G$95))</f>
        <v>0.0686489214837514</v>
      </c>
      <c r="I97" s="43" t="n">
        <f aca="false">IF(H$95 = 0, 0, H97*(I$95/H$95))</f>
        <v>0.0550680641199164</v>
      </c>
      <c r="J97" s="43" t="n">
        <f aca="false">IF(I$95 = 0, 0, I97*(J$95/I$95))</f>
        <v>0.0454958020072766</v>
      </c>
      <c r="K97" s="43" t="n">
        <f aca="false">IF(J$95 = 0, 0, J97*(K$95/J$95))</f>
        <v>0.0384435263795403</v>
      </c>
      <c r="L97" s="43" t="n">
        <f aca="false">IF(K$95 = 0, 0, K97*(L$95/K$95))</f>
        <v>0.0330666353896484</v>
      </c>
      <c r="M97" s="43" t="n">
        <f aca="false">IF(L$95 = 0, 0, L97*(M$95/L$95))</f>
        <v>0.0288534976879987</v>
      </c>
      <c r="N97" s="44" t="n">
        <f aca="false">IF(M$95 = 0, 0, M97*(N$95/M$95))</f>
        <v>0.025477735510223</v>
      </c>
    </row>
    <row r="98" customFormat="false" ht="13.8" hidden="false" customHeight="false" outlineLevel="0" collapsed="false">
      <c r="A98" s="17" t="s">
        <v>6</v>
      </c>
      <c r="B98" s="22" t="n">
        <f aca="false">B105/$B105</f>
        <v>1</v>
      </c>
      <c r="C98" s="23" t="n">
        <f aca="false">C105/$B105</f>
        <v>0.263565891472868</v>
      </c>
      <c r="D98" s="23" t="n">
        <f aca="false">D105/$B105</f>
        <v>0.198966408268734</v>
      </c>
      <c r="E98" s="45" t="n">
        <f aca="false">IF(D$95 = 0, 0, D98*(E$95/D$95))</f>
        <v>0.138308295231875</v>
      </c>
      <c r="F98" s="46" t="n">
        <f aca="false">IF(E$95 = 0, 0, E98*(F$95/E$95))</f>
        <v>0.126390262133899</v>
      </c>
      <c r="G98" s="47" t="n">
        <f aca="false">IF(F$95 = 0, 0, F98*(G$95/F$95))</f>
        <v>0.091861238408662</v>
      </c>
      <c r="H98" s="47" t="n">
        <f aca="false">IF(G$95 = 0, 0, G98*(H$95/G$95))</f>
        <v>0.0707787867812551</v>
      </c>
      <c r="I98" s="47" t="n">
        <f aca="false">IF(H$95 = 0, 0, H98*(I$95/H$95))</f>
        <v>0.056776576886537</v>
      </c>
      <c r="J98" s="47" t="n">
        <f aca="false">IF(I$95 = 0, 0, I98*(J$95/I$95))</f>
        <v>0.0469073308089393</v>
      </c>
      <c r="K98" s="47" t="n">
        <f aca="false">IF(J$95 = 0, 0, J98*(K$95/J$95))</f>
        <v>0.0396362549902707</v>
      </c>
      <c r="L98" s="47" t="n">
        <f aca="false">IF(K$95 = 0, 0, K98*(L$95/K$95))</f>
        <v>0.0340925434112083</v>
      </c>
      <c r="M98" s="47" t="n">
        <f aca="false">IF(L$95 = 0, 0, L98*(M$95/L$95))</f>
        <v>0.0297486911172476</v>
      </c>
      <c r="N98" s="45" t="n">
        <f aca="false">IF(M$95 = 0, 0, M98*(N$95/M$95))</f>
        <v>0.0262681943193252</v>
      </c>
    </row>
    <row r="99" customFormat="false" ht="13.8" hidden="false" customHeight="false" outlineLevel="0" collapsed="false">
      <c r="A99" s="17" t="s">
        <v>7</v>
      </c>
      <c r="B99" s="22" t="n">
        <f aca="false">B106/$B106</f>
        <v>1</v>
      </c>
      <c r="C99" s="23" t="n">
        <f aca="false">C106/$B106</f>
        <v>0.222222222222222</v>
      </c>
      <c r="D99" s="47" t="n">
        <f aca="false">IF(C$95 = 0, 0, C99*(D$95/C$95))</f>
        <v>0.164404891340823</v>
      </c>
      <c r="E99" s="45" t="n">
        <f aca="false">IF(D$95 = 0, 0, D99*(E$95/D$95))</f>
        <v>0.114283413200177</v>
      </c>
      <c r="F99" s="46" t="n">
        <f aca="false">IF(E$95 = 0, 0, E99*(F$95/E$95))</f>
        <v>0.104435605454547</v>
      </c>
      <c r="G99" s="47" t="n">
        <f aca="false">IF(F$95 = 0, 0, F99*(G$95/F$95))</f>
        <v>0.0759044556838532</v>
      </c>
      <c r="H99" s="47" t="n">
        <f aca="false">IF(G$95 = 0, 0, G99*(H$95/G$95))</f>
        <v>0.0584841373539341</v>
      </c>
      <c r="I99" s="47" t="n">
        <f aca="false">IF(H$95 = 0, 0, H99*(I$95/H$95))</f>
        <v>0.0469141853389019</v>
      </c>
      <c r="J99" s="47" t="n">
        <f aca="false">IF(I$95 = 0, 0, I99*(J$95/I$95))</f>
        <v>0.0387592794775478</v>
      </c>
      <c r="K99" s="47" t="n">
        <f aca="false">IF(J$95 = 0, 0, J99*(K$95/J$95))</f>
        <v>0.0327512279662367</v>
      </c>
      <c r="L99" s="47" t="n">
        <f aca="false">IF(K$95 = 0, 0, K99*(L$95/K$95))</f>
        <v>0.028170488394612</v>
      </c>
      <c r="M99" s="47" t="n">
        <f aca="false">IF(L$95 = 0, 0, L99*(M$95/L$95))</f>
        <v>0.0245811862073572</v>
      </c>
      <c r="N99" s="45" t="n">
        <f aca="false">IF(M$95 = 0, 0, M99*(N$95/M$95))</f>
        <v>0.0217052701024555</v>
      </c>
    </row>
    <row r="100" customFormat="false" ht="13.8" hidden="false" customHeight="false" outlineLevel="0" collapsed="false">
      <c r="A100" s="25" t="s">
        <v>8</v>
      </c>
      <c r="B100" s="30" t="n">
        <f aca="false">B107/$B107</f>
        <v>1</v>
      </c>
      <c r="C100" s="48" t="n">
        <f aca="false">IF(B$95 = 0, 0, B100*(C$95/B$95))</f>
        <v>0.260845360391588</v>
      </c>
      <c r="D100" s="48" t="n">
        <f aca="false">IF(C$95 = 0, 0, C100*(D$95/C$95))</f>
        <v>0.192979139093717</v>
      </c>
      <c r="E100" s="49" t="n">
        <f aca="false">IF(D$95 = 0, 0, D100*(E$95/D$95))</f>
        <v>0.134146341463415</v>
      </c>
      <c r="F100" s="50" t="n">
        <f aca="false">IF(E$95 = 0, 0, E100*(F$95/E$95))</f>
        <v>0.122586944141273</v>
      </c>
      <c r="G100" s="48" t="n">
        <f aca="false">IF(F$95 = 0, 0, F100*(G$95/F$95))</f>
        <v>0.0890969629418192</v>
      </c>
      <c r="H100" s="48" t="n">
        <f aca="false">IF(G$95 = 0, 0, G100*(H$95/G$95))</f>
        <v>0.0686489214837514</v>
      </c>
      <c r="I100" s="48" t="n">
        <f aca="false">IF(H$95 = 0, 0, H100*(I$95/H$95))</f>
        <v>0.0550680641199164</v>
      </c>
      <c r="J100" s="48" t="n">
        <f aca="false">IF(I$95 = 0, 0, I100*(J$95/I$95))</f>
        <v>0.0454958020072766</v>
      </c>
      <c r="K100" s="48" t="n">
        <f aca="false">IF(J$95 = 0, 0, J100*(K$95/J$95))</f>
        <v>0.0384435263795403</v>
      </c>
      <c r="L100" s="48" t="n">
        <f aca="false">IF(K$95 = 0, 0, K100*(L$95/K$95))</f>
        <v>0.0330666353896484</v>
      </c>
      <c r="M100" s="48" t="n">
        <f aca="false">IF(L$95 = 0, 0, L100*(M$95/L$95))</f>
        <v>0.0288534976879987</v>
      </c>
      <c r="N100" s="49" t="n">
        <f aca="false">IF(M$95 = 0, 0, M100*(N$95/M$95))</f>
        <v>0.025477735510223</v>
      </c>
    </row>
    <row r="102" customFormat="false" ht="13.8" hidden="false" customHeight="false" outlineLevel="0" collapsed="false">
      <c r="A102" s="36" t="s">
        <v>1</v>
      </c>
      <c r="B102" s="34"/>
    </row>
    <row r="103" customFormat="false" ht="13.8" hidden="false" customHeight="false" outlineLevel="0" collapsed="false">
      <c r="A103" s="6" t="s">
        <v>3</v>
      </c>
      <c r="B103" s="7" t="n">
        <v>0</v>
      </c>
      <c r="C103" s="7" t="n">
        <v>1</v>
      </c>
      <c r="D103" s="7" t="n">
        <v>2</v>
      </c>
      <c r="E103" s="8" t="n">
        <v>3</v>
      </c>
      <c r="F103" s="39" t="n">
        <v>4</v>
      </c>
      <c r="G103" s="40" t="n">
        <v>5</v>
      </c>
      <c r="H103" s="40" t="n">
        <v>6</v>
      </c>
      <c r="I103" s="40" t="n">
        <v>7</v>
      </c>
      <c r="J103" s="40" t="n">
        <v>8</v>
      </c>
      <c r="K103" s="40" t="n">
        <v>9</v>
      </c>
      <c r="L103" s="40" t="n">
        <v>10</v>
      </c>
      <c r="M103" s="40" t="n">
        <v>11</v>
      </c>
      <c r="N103" s="41" t="n">
        <v>12</v>
      </c>
    </row>
    <row r="104" customFormat="false" ht="13.8" hidden="false" customHeight="false" outlineLevel="0" collapsed="false">
      <c r="A104" s="9" t="s">
        <v>5</v>
      </c>
      <c r="B104" s="10" t="n">
        <v>246</v>
      </c>
      <c r="C104" s="11" t="n">
        <v>73</v>
      </c>
      <c r="D104" s="11" t="n">
        <v>46</v>
      </c>
      <c r="E104" s="12" t="n">
        <v>33</v>
      </c>
      <c r="F104" s="51" t="n">
        <f aca="false">ROUND($B104*F97,0)</f>
        <v>30</v>
      </c>
      <c r="G104" s="52" t="n">
        <f aca="false">ROUND($B104*G97,0)</f>
        <v>22</v>
      </c>
      <c r="H104" s="52" t="n">
        <f aca="false">ROUND($B104*H97,0)</f>
        <v>17</v>
      </c>
      <c r="I104" s="52" t="n">
        <f aca="false">ROUND($B104*I97,0)</f>
        <v>14</v>
      </c>
      <c r="J104" s="52" t="n">
        <f aca="false">ROUND($B104*J97,0)</f>
        <v>11</v>
      </c>
      <c r="K104" s="52" t="n">
        <f aca="false">ROUND($B104*K97,0)</f>
        <v>9</v>
      </c>
      <c r="L104" s="52" t="n">
        <f aca="false">ROUND($B104*L97,0)</f>
        <v>8</v>
      </c>
      <c r="M104" s="52" t="n">
        <f aca="false">ROUND($B104*M97,0)</f>
        <v>7</v>
      </c>
      <c r="N104" s="53" t="n">
        <f aca="false">ROUND($B104*N97,0)</f>
        <v>6</v>
      </c>
    </row>
    <row r="105" customFormat="false" ht="13.8" hidden="false" customHeight="false" outlineLevel="0" collapsed="false">
      <c r="A105" s="17" t="s">
        <v>6</v>
      </c>
      <c r="B105" s="18" t="n">
        <v>387</v>
      </c>
      <c r="C105" s="19" t="n">
        <v>102</v>
      </c>
      <c r="D105" s="19" t="n">
        <v>77</v>
      </c>
      <c r="E105" s="54" t="n">
        <f aca="false">ROUND($B105*E98,0)</f>
        <v>54</v>
      </c>
      <c r="F105" s="55" t="n">
        <f aca="false">ROUND($B105*F98,0)</f>
        <v>49</v>
      </c>
      <c r="G105" s="56" t="n">
        <f aca="false">ROUND($B105*G98,0)</f>
        <v>36</v>
      </c>
      <c r="H105" s="56" t="n">
        <f aca="false">ROUND($B105*H98,0)</f>
        <v>27</v>
      </c>
      <c r="I105" s="56" t="n">
        <f aca="false">ROUND($B105*I98,0)</f>
        <v>22</v>
      </c>
      <c r="J105" s="56" t="n">
        <f aca="false">ROUND($B105*J98,0)</f>
        <v>18</v>
      </c>
      <c r="K105" s="56" t="n">
        <f aca="false">ROUND($B105*K98,0)</f>
        <v>15</v>
      </c>
      <c r="L105" s="56" t="n">
        <f aca="false">ROUND($B105*L98,0)</f>
        <v>13</v>
      </c>
      <c r="M105" s="56" t="n">
        <f aca="false">ROUND($B105*M98,0)</f>
        <v>12</v>
      </c>
      <c r="N105" s="54" t="n">
        <f aca="false">ROUND($B105*N98,0)</f>
        <v>10</v>
      </c>
    </row>
    <row r="106" customFormat="false" ht="13.8" hidden="false" customHeight="false" outlineLevel="0" collapsed="false">
      <c r="A106" s="17" t="s">
        <v>7</v>
      </c>
      <c r="B106" s="18" t="n">
        <v>360</v>
      </c>
      <c r="C106" s="19" t="n">
        <v>80</v>
      </c>
      <c r="D106" s="56" t="n">
        <f aca="false">ROUND($B106*D99,0)</f>
        <v>59</v>
      </c>
      <c r="E106" s="54" t="n">
        <f aca="false">ROUND($B106*E99,0)</f>
        <v>41</v>
      </c>
      <c r="F106" s="55" t="n">
        <f aca="false">ROUND($B106*F99,0)</f>
        <v>38</v>
      </c>
      <c r="G106" s="56" t="n">
        <f aca="false">ROUND($B106*G99,0)</f>
        <v>27</v>
      </c>
      <c r="H106" s="56" t="n">
        <f aca="false">ROUND($B106*H99,0)</f>
        <v>21</v>
      </c>
      <c r="I106" s="56" t="n">
        <f aca="false">ROUND($B106*I99,0)</f>
        <v>17</v>
      </c>
      <c r="J106" s="56" t="n">
        <f aca="false">ROUND($B106*J99,0)</f>
        <v>14</v>
      </c>
      <c r="K106" s="56" t="n">
        <f aca="false">ROUND($B106*K99,0)</f>
        <v>12</v>
      </c>
      <c r="L106" s="56" t="n">
        <f aca="false">ROUND($B106*L99,0)</f>
        <v>10</v>
      </c>
      <c r="M106" s="56" t="n">
        <f aca="false">ROUND($B106*M99,0)</f>
        <v>9</v>
      </c>
      <c r="N106" s="54" t="n">
        <f aca="false">ROUND($B106*N99,0)</f>
        <v>8</v>
      </c>
    </row>
    <row r="107" customFormat="false" ht="13.8" hidden="false" customHeight="false" outlineLevel="0" collapsed="false">
      <c r="A107" s="25" t="s">
        <v>8</v>
      </c>
      <c r="B107" s="26" t="n">
        <v>739</v>
      </c>
      <c r="C107" s="57" t="n">
        <f aca="false">ROUND($B107*C100,0)</f>
        <v>193</v>
      </c>
      <c r="D107" s="57" t="n">
        <f aca="false">ROUND($B107*D100,0)</f>
        <v>143</v>
      </c>
      <c r="E107" s="58" t="n">
        <f aca="false">ROUND($B107*E100,0)</f>
        <v>99</v>
      </c>
      <c r="F107" s="59" t="n">
        <f aca="false">ROUND($B107*F100,0)</f>
        <v>91</v>
      </c>
      <c r="G107" s="57" t="n">
        <f aca="false">ROUND($B107*G100,0)</f>
        <v>66</v>
      </c>
      <c r="H107" s="57" t="n">
        <f aca="false">ROUND($B107*H100,0)</f>
        <v>51</v>
      </c>
      <c r="I107" s="57" t="n">
        <f aca="false">ROUND($B107*I100,0)</f>
        <v>41</v>
      </c>
      <c r="J107" s="57" t="n">
        <f aca="false">ROUND($B107*J100,0)</f>
        <v>34</v>
      </c>
      <c r="K107" s="57" t="n">
        <f aca="false">ROUND($B107*K100,0)</f>
        <v>28</v>
      </c>
      <c r="L107" s="57" t="n">
        <f aca="false">ROUND($B107*L100,0)</f>
        <v>24</v>
      </c>
      <c r="M107" s="57" t="n">
        <f aca="false">ROUND($B107*M100,0)</f>
        <v>21</v>
      </c>
      <c r="N107" s="58" t="n">
        <f aca="false">ROUND($B107*N100,0)</f>
        <v>19</v>
      </c>
    </row>
    <row r="109" customFormat="false" ht="13.8" hidden="false" customHeight="false" outlineLevel="0" collapsed="false">
      <c r="A109" s="32" t="s">
        <v>19</v>
      </c>
    </row>
    <row r="110" customFormat="false" ht="13.8" hidden="false" customHeight="false" outlineLevel="0" collapsed="false">
      <c r="A110" s="6" t="s">
        <v>3</v>
      </c>
      <c r="B110" s="7" t="n">
        <v>0</v>
      </c>
      <c r="C110" s="7" t="n">
        <v>1</v>
      </c>
      <c r="D110" s="7" t="n">
        <v>2</v>
      </c>
      <c r="E110" s="8" t="n">
        <v>3</v>
      </c>
      <c r="F110" s="39" t="n">
        <v>4</v>
      </c>
      <c r="G110" s="40" t="n">
        <v>5</v>
      </c>
      <c r="H110" s="40" t="n">
        <v>6</v>
      </c>
      <c r="I110" s="40" t="n">
        <v>7</v>
      </c>
      <c r="J110" s="40" t="n">
        <v>8</v>
      </c>
      <c r="K110" s="40" t="n">
        <v>9</v>
      </c>
      <c r="L110" s="40" t="n">
        <v>10</v>
      </c>
      <c r="M110" s="40" t="n">
        <v>11</v>
      </c>
      <c r="N110" s="41" t="n">
        <v>12</v>
      </c>
    </row>
    <row r="111" customFormat="false" ht="13.8" hidden="false" customHeight="false" outlineLevel="0" collapsed="false">
      <c r="A111" s="9" t="s">
        <v>5</v>
      </c>
      <c r="B111" s="60" t="n">
        <f aca="false">B40+B76</f>
        <v>2348.76</v>
      </c>
      <c r="C111" s="61" t="n">
        <f aca="false">C40+C76</f>
        <v>3489.04</v>
      </c>
      <c r="D111" s="61" t="n">
        <f aca="false">D40+D76</f>
        <v>4208.59</v>
      </c>
      <c r="E111" s="61" t="n">
        <f aca="false">E40+E76</f>
        <v>4677.28</v>
      </c>
      <c r="F111" s="63" t="n">
        <f aca="false">F40+F76</f>
        <v>5131.97</v>
      </c>
      <c r="G111" s="64" t="n">
        <f aca="false">G40+G76</f>
        <v>5461.75</v>
      </c>
      <c r="H111" s="64" t="n">
        <f aca="false">H40+H76</f>
        <v>5716.58</v>
      </c>
      <c r="I111" s="64" t="n">
        <f aca="false">I40+I76</f>
        <v>5926.44</v>
      </c>
      <c r="J111" s="64" t="n">
        <f aca="false">J40+J76</f>
        <v>6091.33</v>
      </c>
      <c r="K111" s="64" t="n">
        <f aca="false">K40+K76</f>
        <v>6226.24</v>
      </c>
      <c r="L111" s="64" t="n">
        <f aca="false">L40+L76</f>
        <v>6346.16</v>
      </c>
      <c r="M111" s="64" t="n">
        <f aca="false">M40+M76</f>
        <v>6451.09</v>
      </c>
      <c r="N111" s="65" t="n">
        <f aca="false">N40+N76</f>
        <v>6541.03</v>
      </c>
    </row>
    <row r="112" customFormat="false" ht="13.8" hidden="false" customHeight="false" outlineLevel="0" collapsed="false">
      <c r="A112" s="17" t="s">
        <v>6</v>
      </c>
      <c r="B112" s="66" t="n">
        <f aca="false">B41+B77</f>
        <v>3943.45</v>
      </c>
      <c r="C112" s="67" t="n">
        <f aca="false">C41+C77</f>
        <v>5566.37</v>
      </c>
      <c r="D112" s="67" t="n">
        <f aca="false">D41+D77</f>
        <v>6848.57</v>
      </c>
      <c r="E112" s="68" t="n">
        <f aca="false">E41+E77</f>
        <v>7658.03</v>
      </c>
      <c r="F112" s="69" t="n">
        <f aca="false">F41+F77</f>
        <v>8392.54</v>
      </c>
      <c r="G112" s="70" t="n">
        <f aca="false">G41+G77</f>
        <v>8917.19</v>
      </c>
      <c r="H112" s="70" t="n">
        <f aca="false">H41+H77</f>
        <v>9321.92</v>
      </c>
      <c r="I112" s="70" t="n">
        <f aca="false">I41+I77</f>
        <v>9651.7</v>
      </c>
      <c r="J112" s="70" t="n">
        <f aca="false">J41+J77</f>
        <v>9921.52</v>
      </c>
      <c r="K112" s="70" t="n">
        <f aca="false">K41+K77</f>
        <v>10146.37</v>
      </c>
      <c r="L112" s="70" t="n">
        <f aca="false">L41+L77</f>
        <v>10341.24</v>
      </c>
      <c r="M112" s="70" t="n">
        <f aca="false">M41+M77</f>
        <v>10521.12</v>
      </c>
      <c r="N112" s="68" t="n">
        <f aca="false">N41+N77</f>
        <v>10671.02</v>
      </c>
    </row>
    <row r="113" customFormat="false" ht="13.8" hidden="false" customHeight="false" outlineLevel="0" collapsed="false">
      <c r="A113" s="17" t="s">
        <v>7</v>
      </c>
      <c r="B113" s="66" t="n">
        <f aca="false">B42+B78</f>
        <v>3602.91999999999</v>
      </c>
      <c r="C113" s="67" t="n">
        <f aca="false">C42+C78</f>
        <v>4898.90999999999</v>
      </c>
      <c r="D113" s="70" t="n">
        <f aca="false">D42+D78</f>
        <v>5723.35999999999</v>
      </c>
      <c r="E113" s="68" t="n">
        <f aca="false">E42+E78</f>
        <v>6292.97999999999</v>
      </c>
      <c r="F113" s="69" t="n">
        <f aca="false">F42+F78</f>
        <v>6817.62999999999</v>
      </c>
      <c r="G113" s="70" t="n">
        <f aca="false">G42+G78</f>
        <v>7192.37999999999</v>
      </c>
      <c r="H113" s="70" t="n">
        <f aca="false">H42+H78</f>
        <v>7492.17999999999</v>
      </c>
      <c r="I113" s="70" t="n">
        <f aca="false">I42+I78</f>
        <v>7732.01999999999</v>
      </c>
      <c r="J113" s="70" t="n">
        <f aca="false">J42+J78</f>
        <v>7926.88999999999</v>
      </c>
      <c r="K113" s="70" t="n">
        <f aca="false">K42+K78</f>
        <v>8091.77999999999</v>
      </c>
      <c r="L113" s="70" t="n">
        <f aca="false">L42+L78</f>
        <v>8241.67999999999</v>
      </c>
      <c r="M113" s="70" t="n">
        <f aca="false">M42+M78</f>
        <v>8361.59999999999</v>
      </c>
      <c r="N113" s="68" t="n">
        <f aca="false">N42+N78</f>
        <v>8466.52999999999</v>
      </c>
    </row>
    <row r="114" customFormat="false" ht="13.8" hidden="false" customHeight="false" outlineLevel="0" collapsed="false">
      <c r="A114" s="25" t="s">
        <v>8</v>
      </c>
      <c r="B114" s="71" t="n">
        <f aca="false">B43+B79</f>
        <v>7723.01999999997</v>
      </c>
      <c r="C114" s="72" t="n">
        <f aca="false">C43+C79</f>
        <v>10506.07</v>
      </c>
      <c r="D114" s="72" t="n">
        <f aca="false">D43+D79</f>
        <v>12589.68</v>
      </c>
      <c r="E114" s="73" t="n">
        <f aca="false">E43+E79</f>
        <v>14043.71</v>
      </c>
      <c r="F114" s="74" t="n">
        <f aca="false">F43+F79</f>
        <v>15362.83</v>
      </c>
      <c r="G114" s="72" t="n">
        <f aca="false">G43+G79</f>
        <v>16322.19</v>
      </c>
      <c r="H114" s="72" t="n">
        <f aca="false">H43+H79</f>
        <v>17056.7</v>
      </c>
      <c r="I114" s="72" t="n">
        <f aca="false">I43+I79</f>
        <v>17656.3</v>
      </c>
      <c r="J114" s="72" t="n">
        <f aca="false">J43+J79</f>
        <v>18150.97</v>
      </c>
      <c r="K114" s="72" t="n">
        <f aca="false">K43+K79</f>
        <v>18570.69</v>
      </c>
      <c r="L114" s="72" t="n">
        <f aca="false">L43+L79</f>
        <v>18930.45</v>
      </c>
      <c r="M114" s="72" t="n">
        <f aca="false">M43+M79</f>
        <v>19245.24</v>
      </c>
      <c r="N114" s="73" t="n">
        <f aca="false">N43+N79</f>
        <v>19515.06</v>
      </c>
    </row>
    <row r="116" customFormat="false" ht="13.8" hidden="false" customHeight="false" outlineLevel="0" collapsed="false">
      <c r="A116" s="32" t="s">
        <v>20</v>
      </c>
    </row>
    <row r="117" customFormat="false" ht="13.8" hidden="false" customHeight="false" outlineLevel="0" collapsed="false">
      <c r="A117" s="6" t="s">
        <v>3</v>
      </c>
      <c r="B117" s="7" t="n">
        <v>0</v>
      </c>
      <c r="C117" s="7" t="n">
        <v>1</v>
      </c>
      <c r="D117" s="7" t="n">
        <v>2</v>
      </c>
      <c r="E117" s="8" t="n">
        <v>3</v>
      </c>
      <c r="F117" s="39" t="n">
        <v>4</v>
      </c>
      <c r="G117" s="40" t="n">
        <v>5</v>
      </c>
      <c r="H117" s="40" t="n">
        <v>6</v>
      </c>
      <c r="I117" s="40" t="n">
        <v>7</v>
      </c>
      <c r="J117" s="40" t="n">
        <v>8</v>
      </c>
      <c r="K117" s="40" t="n">
        <v>9</v>
      </c>
      <c r="L117" s="40" t="n">
        <v>10</v>
      </c>
      <c r="M117" s="40" t="n">
        <v>11</v>
      </c>
      <c r="N117" s="41" t="n">
        <v>12</v>
      </c>
      <c r="O117" s="75" t="s">
        <v>21</v>
      </c>
      <c r="P117" s="75" t="s">
        <v>22</v>
      </c>
    </row>
    <row r="118" customFormat="false" ht="13.8" hidden="false" customHeight="false" outlineLevel="0" collapsed="false">
      <c r="A118" s="9" t="s">
        <v>5</v>
      </c>
      <c r="B118" s="76" t="n">
        <f aca="false">B111/$B104</f>
        <v>9.54780487804878</v>
      </c>
      <c r="C118" s="77" t="n">
        <f aca="false">C111/$B104</f>
        <v>14.1830894308943</v>
      </c>
      <c r="D118" s="77" t="n">
        <f aca="false">D111/$B104</f>
        <v>17.1080894308943</v>
      </c>
      <c r="E118" s="78" t="n">
        <f aca="false">E111/$B104</f>
        <v>19.0133333333333</v>
      </c>
      <c r="F118" s="79" t="n">
        <f aca="false">F111/$B104</f>
        <v>20.8616666666667</v>
      </c>
      <c r="G118" s="80" t="n">
        <f aca="false">G111/$B104</f>
        <v>22.2022357723577</v>
      </c>
      <c r="H118" s="80" t="n">
        <f aca="false">H111/$B104</f>
        <v>23.2381300813008</v>
      </c>
      <c r="I118" s="80" t="n">
        <f aca="false">I111/$B104</f>
        <v>24.0912195121951</v>
      </c>
      <c r="J118" s="80" t="n">
        <f aca="false">J111/$B104</f>
        <v>24.7615040650407</v>
      </c>
      <c r="K118" s="80" t="n">
        <f aca="false">K111/$B104</f>
        <v>25.309918699187</v>
      </c>
      <c r="L118" s="80" t="n">
        <f aca="false">L111/$B104</f>
        <v>25.7973983739837</v>
      </c>
      <c r="M118" s="80" t="n">
        <f aca="false">M111/$B104</f>
        <v>26.2239430894309</v>
      </c>
      <c r="N118" s="81" t="n">
        <f aca="false">N111/$B104</f>
        <v>26.5895528455285</v>
      </c>
      <c r="O118" s="82" t="n">
        <f aca="false">E118</f>
        <v>19.0133333333333</v>
      </c>
      <c r="P118" s="82" t="n">
        <f aca="false">N118</f>
        <v>26.5895528455285</v>
      </c>
    </row>
    <row r="119" customFormat="false" ht="13.8" hidden="false" customHeight="false" outlineLevel="0" collapsed="false">
      <c r="A119" s="17" t="s">
        <v>6</v>
      </c>
      <c r="B119" s="83" t="n">
        <f aca="false">B112/$B105</f>
        <v>10.1897932816537</v>
      </c>
      <c r="C119" s="84" t="n">
        <f aca="false">C112/$B105</f>
        <v>14.3833850129199</v>
      </c>
      <c r="D119" s="84" t="n">
        <f aca="false">D112/$B105</f>
        <v>17.6965633074935</v>
      </c>
      <c r="E119" s="85" t="n">
        <f aca="false">E112/$B105</f>
        <v>19.7881912144703</v>
      </c>
      <c r="F119" s="86" t="n">
        <f aca="false">F112/$B105</f>
        <v>21.686149870801</v>
      </c>
      <c r="G119" s="87" t="n">
        <f aca="false">G112/$B105</f>
        <v>23.041834625323</v>
      </c>
      <c r="H119" s="87" t="n">
        <f aca="false">H112/$B105</f>
        <v>24.0876485788114</v>
      </c>
      <c r="I119" s="87" t="n">
        <f aca="false">I112/$B105</f>
        <v>24.9397932816538</v>
      </c>
      <c r="J119" s="87" t="n">
        <f aca="false">J112/$B105</f>
        <v>25.6370025839793</v>
      </c>
      <c r="K119" s="87" t="n">
        <f aca="false">K112/$B105</f>
        <v>26.2180103359173</v>
      </c>
      <c r="L119" s="87" t="n">
        <f aca="false">L112/$B105</f>
        <v>26.7215503875969</v>
      </c>
      <c r="M119" s="87" t="n">
        <f aca="false">M112/$B105</f>
        <v>27.1863565891473</v>
      </c>
      <c r="N119" s="85" t="n">
        <f aca="false">N112/$B105</f>
        <v>27.5736950904393</v>
      </c>
      <c r="O119" s="82" t="n">
        <f aca="false">E119</f>
        <v>19.7881912144703</v>
      </c>
      <c r="P119" s="82" t="n">
        <f aca="false">N119</f>
        <v>27.5736950904393</v>
      </c>
    </row>
    <row r="120" customFormat="false" ht="13.8" hidden="false" customHeight="false" outlineLevel="0" collapsed="false">
      <c r="A120" s="17" t="s">
        <v>7</v>
      </c>
      <c r="B120" s="83" t="n">
        <f aca="false">B113/$B106</f>
        <v>10.0081111111111</v>
      </c>
      <c r="C120" s="84" t="n">
        <f aca="false">C113/$B106</f>
        <v>13.6080833333333</v>
      </c>
      <c r="D120" s="87" t="n">
        <f aca="false">D113/$B106</f>
        <v>15.8982222222222</v>
      </c>
      <c r="E120" s="85" t="n">
        <f aca="false">E113/$B106</f>
        <v>17.4805</v>
      </c>
      <c r="F120" s="86" t="n">
        <f aca="false">F113/$B106</f>
        <v>18.9378611111111</v>
      </c>
      <c r="G120" s="87" t="n">
        <f aca="false">G113/$B106</f>
        <v>19.9788333333333</v>
      </c>
      <c r="H120" s="87" t="n">
        <f aca="false">H113/$B106</f>
        <v>20.8116111111111</v>
      </c>
      <c r="I120" s="87" t="n">
        <f aca="false">I113/$B106</f>
        <v>21.4778333333333</v>
      </c>
      <c r="J120" s="87" t="n">
        <f aca="false">J113/$B106</f>
        <v>22.0191388888889</v>
      </c>
      <c r="K120" s="87" t="n">
        <f aca="false">K113/$B106</f>
        <v>22.4771666666666</v>
      </c>
      <c r="L120" s="87" t="n">
        <f aca="false">L113/$B106</f>
        <v>22.8935555555555</v>
      </c>
      <c r="M120" s="87" t="n">
        <f aca="false">M113/$B106</f>
        <v>23.2266666666666</v>
      </c>
      <c r="N120" s="85" t="n">
        <f aca="false">N113/$B106</f>
        <v>23.5181388888889</v>
      </c>
      <c r="O120" s="82" t="n">
        <f aca="false">E120</f>
        <v>17.4805</v>
      </c>
      <c r="P120" s="82" t="n">
        <f aca="false">N120</f>
        <v>23.5181388888889</v>
      </c>
    </row>
    <row r="121" customFormat="false" ht="13.8" hidden="false" customHeight="false" outlineLevel="0" collapsed="false">
      <c r="A121" s="25" t="s">
        <v>8</v>
      </c>
      <c r="B121" s="88" t="n">
        <f aca="false">B114/$B107</f>
        <v>10.4506359945872</v>
      </c>
      <c r="C121" s="89" t="n">
        <f aca="false">C114/$B107</f>
        <v>14.2166035182679</v>
      </c>
      <c r="D121" s="89" t="n">
        <f aca="false">D114/$B107</f>
        <v>17.0361028416779</v>
      </c>
      <c r="E121" s="90" t="n">
        <f aca="false">E114/$B107</f>
        <v>19.0036671177266</v>
      </c>
      <c r="F121" s="91" t="n">
        <f aca="false">F114/$B107</f>
        <v>20.7886738836265</v>
      </c>
      <c r="G121" s="89" t="n">
        <f aca="false">G114/$B107</f>
        <v>22.0868606224628</v>
      </c>
      <c r="H121" s="89" t="n">
        <f aca="false">H114/$B107</f>
        <v>23.0807848443843</v>
      </c>
      <c r="I121" s="89" t="n">
        <f aca="false">I114/$B107</f>
        <v>23.8921515561569</v>
      </c>
      <c r="J121" s="89" t="n">
        <f aca="false">J114/$B107</f>
        <v>24.5615290933694</v>
      </c>
      <c r="K121" s="89" t="n">
        <f aca="false">K114/$B107</f>
        <v>25.1294857916102</v>
      </c>
      <c r="L121" s="89" t="n">
        <f aca="false">L114/$B107</f>
        <v>25.6163058186738</v>
      </c>
      <c r="M121" s="89" t="n">
        <f aca="false">M114/$B107</f>
        <v>26.0422733423545</v>
      </c>
      <c r="N121" s="90" t="n">
        <f aca="false">N114/$B107</f>
        <v>26.4073883626522</v>
      </c>
      <c r="O121" s="82" t="n">
        <f aca="false">E121</f>
        <v>19.0036671177266</v>
      </c>
      <c r="P121" s="82" t="n">
        <f aca="false">N121</f>
        <v>26.4073883626522</v>
      </c>
    </row>
    <row r="122" customFormat="false" ht="13.8" hidden="false" customHeight="false" outlineLevel="0" collapsed="false">
      <c r="N122" s="92" t="s">
        <v>23</v>
      </c>
      <c r="O122" s="93" t="n">
        <f aca="false">SUMPRODUCT(O118:O121,$B104:$B107)/SUM($B104:$B107)</f>
        <v>18.8637413394919</v>
      </c>
      <c r="P122" s="93" t="n">
        <f aca="false">SUMPRODUCT(P118:P121,$B104:$B107)/SUM($B104:$B107)</f>
        <v>26.0933256351039</v>
      </c>
    </row>
    <row r="125" customFormat="false" ht="15" hidden="false" customHeight="false" outlineLevel="0" collapsed="false">
      <c r="A125" s="31" t="s">
        <v>26</v>
      </c>
      <c r="B125" s="3"/>
      <c r="C125" s="3"/>
      <c r="D125" s="3"/>
    </row>
    <row r="126" customFormat="false" ht="13.8" hidden="false" customHeight="false" outlineLevel="0" collapsed="false">
      <c r="A126" s="32" t="s">
        <v>14</v>
      </c>
    </row>
    <row r="128" customFormat="false" ht="13.8" hidden="false" customHeight="false" outlineLevel="0" collapsed="false">
      <c r="A128" s="33" t="s">
        <v>15</v>
      </c>
      <c r="B128" s="34"/>
      <c r="F128" s="33"/>
    </row>
    <row r="129" customFormat="false" ht="13.8" hidden="false" customHeight="false" outlineLevel="0" collapsed="false">
      <c r="A129" s="1" t="s">
        <v>16</v>
      </c>
      <c r="B129" s="35" t="n">
        <v>0.91</v>
      </c>
      <c r="F129" s="33"/>
    </row>
    <row r="130" customFormat="false" ht="13.8" hidden="false" customHeight="false" outlineLevel="0" collapsed="false">
      <c r="A130" s="1" t="s">
        <v>17</v>
      </c>
      <c r="B130" s="35" t="n">
        <v>1.18</v>
      </c>
      <c r="F130" s="33"/>
    </row>
    <row r="131" customFormat="false" ht="13.8" hidden="false" customHeight="false" outlineLevel="0" collapsed="false">
      <c r="A131" s="1" t="s">
        <v>18</v>
      </c>
      <c r="B131" s="35" t="n">
        <v>14.99</v>
      </c>
      <c r="F131" s="33"/>
    </row>
    <row r="132" customFormat="false" ht="13.8" hidden="false" customHeight="false" outlineLevel="0" collapsed="false">
      <c r="B132" s="35"/>
      <c r="F132" s="33"/>
    </row>
    <row r="133" customFormat="false" ht="13.8" hidden="false" customHeight="false" outlineLevel="0" collapsed="false">
      <c r="A133" s="36" t="s">
        <v>2</v>
      </c>
      <c r="B133" s="37" t="n">
        <f aca="false">AVERAGE(B135:B138)</f>
        <v>1</v>
      </c>
      <c r="C133" s="37" t="n">
        <f aca="false">AVERAGE(C135:C137)</f>
        <v>0.330884697553116</v>
      </c>
      <c r="D133" s="37" t="n">
        <f aca="false">AVERAGE(D135:D136)</f>
        <v>0.247355430183357</v>
      </c>
      <c r="E133" s="37" t="n">
        <f aca="false">AVERAGE(E135)</f>
        <v>0.192408376963351</v>
      </c>
      <c r="F133" s="38" t="n">
        <f aca="false">$B129*F134^(-$B130)</f>
        <v>0.177259941872764</v>
      </c>
      <c r="G133" s="38" t="n">
        <f aca="false">$B129*G134^(-$B130)</f>
        <v>0.136224990787035</v>
      </c>
      <c r="H133" s="38" t="n">
        <f aca="false">$B129*H134^(-$B130)</f>
        <v>0.109855781227103</v>
      </c>
      <c r="I133" s="38" t="n">
        <f aca="false">$B129*I134^(-$B130)</f>
        <v>0.0915852858201454</v>
      </c>
      <c r="J133" s="38" t="n">
        <f aca="false">$B129*J134^(-$B130)</f>
        <v>0.0782339409066979</v>
      </c>
      <c r="K133" s="38" t="n">
        <f aca="false">$B129*K134^(-$B130)</f>
        <v>0.0680824586847699</v>
      </c>
      <c r="L133" s="38" t="n">
        <f aca="false">$B129*L134^(-$B130)</f>
        <v>0.0601231037686913</v>
      </c>
      <c r="M133" s="38" t="n">
        <f aca="false">$B129*M134^(-$B130)</f>
        <v>0.0537276720836337</v>
      </c>
      <c r="N133" s="38" t="n">
        <f aca="false">$B129*N134^(-$B130)</f>
        <v>0.0484850136245073</v>
      </c>
    </row>
    <row r="134" customFormat="false" ht="13.8" hidden="false" customHeight="false" outlineLevel="0" collapsed="false">
      <c r="A134" s="6" t="s">
        <v>3</v>
      </c>
      <c r="B134" s="7" t="n">
        <v>0</v>
      </c>
      <c r="C134" s="7" t="n">
        <v>1</v>
      </c>
      <c r="D134" s="7" t="n">
        <v>2</v>
      </c>
      <c r="E134" s="8" t="n">
        <v>3</v>
      </c>
      <c r="F134" s="39" t="n">
        <v>4</v>
      </c>
      <c r="G134" s="40" t="n">
        <v>5</v>
      </c>
      <c r="H134" s="40" t="n">
        <v>6</v>
      </c>
      <c r="I134" s="40" t="n">
        <v>7</v>
      </c>
      <c r="J134" s="40" t="n">
        <v>8</v>
      </c>
      <c r="K134" s="40" t="n">
        <v>9</v>
      </c>
      <c r="L134" s="40" t="n">
        <v>10</v>
      </c>
      <c r="M134" s="40" t="n">
        <v>11</v>
      </c>
      <c r="N134" s="41" t="n">
        <v>12</v>
      </c>
    </row>
    <row r="135" customFormat="false" ht="13.8" hidden="false" customHeight="false" outlineLevel="0" collapsed="false">
      <c r="A135" s="9" t="s">
        <v>5</v>
      </c>
      <c r="B135" s="14" t="n">
        <f aca="false">B142/$B142</f>
        <v>1</v>
      </c>
      <c r="C135" s="15" t="n">
        <f aca="false">C142/$B142</f>
        <v>0.350785340314136</v>
      </c>
      <c r="D135" s="15" t="n">
        <f aca="false">D142/$B142</f>
        <v>0.25</v>
      </c>
      <c r="E135" s="16" t="n">
        <f aca="false">E142/$B142</f>
        <v>0.192408376963351</v>
      </c>
      <c r="F135" s="42" t="n">
        <f aca="false">IF(E$133 = 0, 0, E135*(F$133/E$133))</f>
        <v>0.177259941872764</v>
      </c>
      <c r="G135" s="43" t="n">
        <f aca="false">IF(F$133 = 0, 0, F135*(G$133/F$133))</f>
        <v>0.136224990787035</v>
      </c>
      <c r="H135" s="43" t="n">
        <f aca="false">IF(G$133 = 0, 0, G135*(H$133/G$133))</f>
        <v>0.109855781227103</v>
      </c>
      <c r="I135" s="43" t="n">
        <f aca="false">IF(H$133 = 0, 0, H135*(I$133/H$133))</f>
        <v>0.0915852858201454</v>
      </c>
      <c r="J135" s="43" t="n">
        <f aca="false">IF(I$133 = 0, 0, I135*(J$133/I$133))</f>
        <v>0.0782339409066979</v>
      </c>
      <c r="K135" s="43" t="n">
        <f aca="false">IF(J$133 = 0, 0, J135*(K$133/J$133))</f>
        <v>0.0680824586847699</v>
      </c>
      <c r="L135" s="43" t="n">
        <f aca="false">IF(K$133 = 0, 0, K135*(L$133/K$133))</f>
        <v>0.0601231037686913</v>
      </c>
      <c r="M135" s="43" t="n">
        <f aca="false">IF(L$133 = 0, 0, L135*(M$133/L$133))</f>
        <v>0.0537276720836337</v>
      </c>
      <c r="N135" s="44" t="n">
        <f aca="false">IF(M$133 = 0, 0, M135*(N$133/M$133))</f>
        <v>0.0484850136245073</v>
      </c>
    </row>
    <row r="136" customFormat="false" ht="13.8" hidden="false" customHeight="false" outlineLevel="0" collapsed="false">
      <c r="A136" s="17" t="s">
        <v>6</v>
      </c>
      <c r="B136" s="22" t="n">
        <f aca="false">B143/$B143</f>
        <v>1</v>
      </c>
      <c r="C136" s="23" t="n">
        <f aca="false">C143/$B143</f>
        <v>0.332157968970381</v>
      </c>
      <c r="D136" s="23" t="n">
        <f aca="false">D143/$B143</f>
        <v>0.244710860366714</v>
      </c>
      <c r="E136" s="45" t="n">
        <f aca="false">IF(D$133 = 0, 0, D136*(E$133/D$133))</f>
        <v>0.190351266732096</v>
      </c>
      <c r="F136" s="46" t="n">
        <f aca="false">IF(E$133 = 0, 0, E136*(F$133/E$133))</f>
        <v>0.175364789251173</v>
      </c>
      <c r="G136" s="47" t="n">
        <f aca="false">IF(F$133 = 0, 0, F136*(G$133/F$133))</f>
        <v>0.134768558241201</v>
      </c>
      <c r="H136" s="47" t="n">
        <f aca="false">IF(G$133 = 0, 0, G136*(H$133/G$133))</f>
        <v>0.108681271805573</v>
      </c>
      <c r="I136" s="47" t="n">
        <f aca="false">IF(H$133 = 0, 0, H136*(I$133/H$133))</f>
        <v>0.0906061131278417</v>
      </c>
      <c r="J136" s="47" t="n">
        <f aca="false">IF(I$133 = 0, 0, I136*(J$133/I$133))</f>
        <v>0.0773975124579449</v>
      </c>
      <c r="K136" s="47" t="n">
        <f aca="false">IF(J$133 = 0, 0, J136*(K$133/J$133))</f>
        <v>0.0673545635455885</v>
      </c>
      <c r="L136" s="47" t="n">
        <f aca="false">IF(K$133 = 0, 0, K136*(L$133/K$133))</f>
        <v>0.0594803050826397</v>
      </c>
      <c r="M136" s="47" t="n">
        <f aca="false">IF(L$133 = 0, 0, L136*(M$133/L$133))</f>
        <v>0.0531532493600026</v>
      </c>
      <c r="N136" s="45" t="n">
        <f aca="false">IF(M$133 = 0, 0, M136*(N$133/M$133))</f>
        <v>0.0479666421317293</v>
      </c>
    </row>
    <row r="137" customFormat="false" ht="13.8" hidden="false" customHeight="false" outlineLevel="0" collapsed="false">
      <c r="A137" s="17" t="s">
        <v>7</v>
      </c>
      <c r="B137" s="22" t="n">
        <f aca="false">B144/$B144</f>
        <v>1</v>
      </c>
      <c r="C137" s="23" t="n">
        <f aca="false">C144/$B144</f>
        <v>0.309710783374832</v>
      </c>
      <c r="D137" s="47" t="n">
        <f aca="false">IF(C$133 = 0, 0, C137*(D$133/C$133))</f>
        <v>0.231526705890677</v>
      </c>
      <c r="E137" s="45" t="n">
        <f aca="false">IF(D$133 = 0, 0, D137*(E$133/D$133))</f>
        <v>0.180095814638371</v>
      </c>
      <c r="F137" s="46" t="n">
        <f aca="false">IF(E$133 = 0, 0, E137*(F$133/E$133))</f>
        <v>0.165916755487243</v>
      </c>
      <c r="G137" s="47" t="n">
        <f aca="false">IF(F$133 = 0, 0, F137*(G$133/F$133))</f>
        <v>0.127507705626396</v>
      </c>
      <c r="H137" s="47" t="n">
        <f aca="false">IF(G$133 = 0, 0, G137*(H$133/G$133))</f>
        <v>0.10282590979185</v>
      </c>
      <c r="I137" s="47" t="n">
        <f aca="false">IF(H$133 = 0, 0, H137*(I$133/H$133))</f>
        <v>0.0857245766477665</v>
      </c>
      <c r="J137" s="47" t="n">
        <f aca="false">IF(I$133 = 0, 0, I137*(J$133/I$133))</f>
        <v>0.0732276086017069</v>
      </c>
      <c r="K137" s="47" t="n">
        <f aca="false">IF(J$133 = 0, 0, J137*(K$133/J$133))</f>
        <v>0.0637257382081257</v>
      </c>
      <c r="L137" s="47" t="n">
        <f aca="false">IF(K$133 = 0, 0, K137*(L$133/K$133))</f>
        <v>0.0562757169032833</v>
      </c>
      <c r="M137" s="47" t="n">
        <f aca="false">IF(L$133 = 0, 0, L137*(M$133/L$133))</f>
        <v>0.0502895405347572</v>
      </c>
      <c r="N137" s="45" t="n">
        <f aca="false">IF(M$133 = 0, 0, M137*(N$133/M$133))</f>
        <v>0.0453823693347893</v>
      </c>
    </row>
    <row r="138" customFormat="false" ht="13.8" hidden="false" customHeight="false" outlineLevel="0" collapsed="false">
      <c r="A138" s="25" t="s">
        <v>8</v>
      </c>
      <c r="B138" s="30" t="n">
        <f aca="false">B145/$B145</f>
        <v>1</v>
      </c>
      <c r="C138" s="48" t="n">
        <f aca="false">IF(B$133 = 0, 0, B138*(C$133/B$133))</f>
        <v>0.330884697553116</v>
      </c>
      <c r="D138" s="48" t="n">
        <f aca="false">IF(C$133 = 0, 0, C138*(D$133/C$133))</f>
        <v>0.247355430183357</v>
      </c>
      <c r="E138" s="49" t="n">
        <f aca="false">IF(D$133 = 0, 0, D138*(E$133/D$133))</f>
        <v>0.192408376963351</v>
      </c>
      <c r="F138" s="50" t="n">
        <f aca="false">IF(E$133 = 0, 0, E138*(F$133/E$133))</f>
        <v>0.177259941872764</v>
      </c>
      <c r="G138" s="48" t="n">
        <f aca="false">IF(F$133 = 0, 0, F138*(G$133/F$133))</f>
        <v>0.136224990787035</v>
      </c>
      <c r="H138" s="48" t="n">
        <f aca="false">IF(G$133 = 0, 0, G138*(H$133/G$133))</f>
        <v>0.109855781227103</v>
      </c>
      <c r="I138" s="48" t="n">
        <f aca="false">IF(H$133 = 0, 0, H138*(I$133/H$133))</f>
        <v>0.0915852858201454</v>
      </c>
      <c r="J138" s="48" t="n">
        <f aca="false">IF(I$133 = 0, 0, I138*(J$133/I$133))</f>
        <v>0.0782339409066979</v>
      </c>
      <c r="K138" s="48" t="n">
        <f aca="false">IF(J$133 = 0, 0, J138*(K$133/J$133))</f>
        <v>0.0680824586847699</v>
      </c>
      <c r="L138" s="48" t="n">
        <f aca="false">IF(K$133 = 0, 0, K138*(L$133/K$133))</f>
        <v>0.0601231037686913</v>
      </c>
      <c r="M138" s="48" t="n">
        <f aca="false">IF(L$133 = 0, 0, L138*(M$133/L$133))</f>
        <v>0.0537276720836337</v>
      </c>
      <c r="N138" s="49" t="n">
        <f aca="false">IF(M$133 = 0, 0, M138*(N$133/M$133))</f>
        <v>0.0484850136245073</v>
      </c>
    </row>
    <row r="140" customFormat="false" ht="13.8" hidden="false" customHeight="false" outlineLevel="0" collapsed="false">
      <c r="A140" s="36" t="s">
        <v>1</v>
      </c>
      <c r="B140" s="34"/>
    </row>
    <row r="141" customFormat="false" ht="13.8" hidden="false" customHeight="false" outlineLevel="0" collapsed="false">
      <c r="A141" s="6" t="s">
        <v>3</v>
      </c>
      <c r="B141" s="7" t="n">
        <v>0</v>
      </c>
      <c r="C141" s="7" t="n">
        <v>1</v>
      </c>
      <c r="D141" s="7" t="n">
        <v>2</v>
      </c>
      <c r="E141" s="8" t="n">
        <v>3</v>
      </c>
      <c r="F141" s="39" t="n">
        <v>4</v>
      </c>
      <c r="G141" s="40" t="n">
        <v>5</v>
      </c>
      <c r="H141" s="40" t="n">
        <v>6</v>
      </c>
      <c r="I141" s="40" t="n">
        <v>7</v>
      </c>
      <c r="J141" s="40" t="n">
        <v>8</v>
      </c>
      <c r="K141" s="40" t="n">
        <v>9</v>
      </c>
      <c r="L141" s="40" t="n">
        <v>10</v>
      </c>
      <c r="M141" s="40" t="n">
        <v>11</v>
      </c>
      <c r="N141" s="41" t="n">
        <v>12</v>
      </c>
    </row>
    <row r="142" customFormat="false" ht="13.8" hidden="false" customHeight="false" outlineLevel="0" collapsed="false">
      <c r="A142" s="9" t="s">
        <v>5</v>
      </c>
      <c r="B142" s="10" t="n">
        <v>764</v>
      </c>
      <c r="C142" s="11" t="n">
        <v>268</v>
      </c>
      <c r="D142" s="11" t="n">
        <v>191</v>
      </c>
      <c r="E142" s="12" t="n">
        <v>147</v>
      </c>
      <c r="F142" s="51" t="n">
        <f aca="false">ROUND($B142*F135,0)</f>
        <v>135</v>
      </c>
      <c r="G142" s="52" t="n">
        <f aca="false">ROUND($B142*G135,0)</f>
        <v>104</v>
      </c>
      <c r="H142" s="52" t="n">
        <f aca="false">ROUND($B142*H135,0)</f>
        <v>84</v>
      </c>
      <c r="I142" s="52" t="n">
        <f aca="false">ROUND($B142*I135,0)</f>
        <v>70</v>
      </c>
      <c r="J142" s="52" t="n">
        <f aca="false">ROUND($B142*J135,0)</f>
        <v>60</v>
      </c>
      <c r="K142" s="52" t="n">
        <f aca="false">ROUND($B142*K135,0)</f>
        <v>52</v>
      </c>
      <c r="L142" s="52" t="n">
        <f aca="false">ROUND($B142*L135,0)</f>
        <v>46</v>
      </c>
      <c r="M142" s="52" t="n">
        <f aca="false">ROUND($B142*M135,0)</f>
        <v>41</v>
      </c>
      <c r="N142" s="53" t="n">
        <f aca="false">ROUND($B142*N135,0)</f>
        <v>37</v>
      </c>
    </row>
    <row r="143" customFormat="false" ht="13.8" hidden="false" customHeight="false" outlineLevel="0" collapsed="false">
      <c r="A143" s="17" t="s">
        <v>6</v>
      </c>
      <c r="B143" s="18" t="n">
        <v>1418</v>
      </c>
      <c r="C143" s="19" t="n">
        <v>471</v>
      </c>
      <c r="D143" s="19" t="n">
        <v>347</v>
      </c>
      <c r="E143" s="54" t="n">
        <f aca="false">ROUND($B143*E136,0)</f>
        <v>270</v>
      </c>
      <c r="F143" s="55" t="n">
        <f aca="false">ROUND($B143*F136,0)</f>
        <v>249</v>
      </c>
      <c r="G143" s="56" t="n">
        <f aca="false">ROUND($B143*G136,0)</f>
        <v>191</v>
      </c>
      <c r="H143" s="56" t="n">
        <f aca="false">ROUND($B143*H136,0)</f>
        <v>154</v>
      </c>
      <c r="I143" s="56" t="n">
        <f aca="false">ROUND($B143*I136,0)</f>
        <v>128</v>
      </c>
      <c r="J143" s="56" t="n">
        <f aca="false">ROUND($B143*J136,0)</f>
        <v>110</v>
      </c>
      <c r="K143" s="56" t="n">
        <f aca="false">ROUND($B143*K136,0)</f>
        <v>96</v>
      </c>
      <c r="L143" s="56" t="n">
        <f aca="false">ROUND($B143*L136,0)</f>
        <v>84</v>
      </c>
      <c r="M143" s="56" t="n">
        <f aca="false">ROUND($B143*M136,0)</f>
        <v>75</v>
      </c>
      <c r="N143" s="54" t="n">
        <f aca="false">ROUND($B143*N136,0)</f>
        <v>68</v>
      </c>
    </row>
    <row r="144" customFormat="false" ht="13.8" hidden="false" customHeight="false" outlineLevel="0" collapsed="false">
      <c r="A144" s="17" t="s">
        <v>7</v>
      </c>
      <c r="B144" s="18" t="n">
        <v>5221</v>
      </c>
      <c r="C144" s="19" t="n">
        <v>1617</v>
      </c>
      <c r="D144" s="56" t="n">
        <f aca="false">ROUND($B144*D137,0)</f>
        <v>1209</v>
      </c>
      <c r="E144" s="54" t="n">
        <f aca="false">ROUND($B144*E137,0)</f>
        <v>940</v>
      </c>
      <c r="F144" s="55" t="n">
        <f aca="false">ROUND($B144*F137,0)</f>
        <v>866</v>
      </c>
      <c r="G144" s="56" t="n">
        <f aca="false">ROUND($B144*G137,0)</f>
        <v>666</v>
      </c>
      <c r="H144" s="56" t="n">
        <f aca="false">ROUND($B144*H137,0)</f>
        <v>537</v>
      </c>
      <c r="I144" s="56" t="n">
        <f aca="false">ROUND($B144*I137,0)</f>
        <v>448</v>
      </c>
      <c r="J144" s="56" t="n">
        <f aca="false">ROUND($B144*J137,0)</f>
        <v>382</v>
      </c>
      <c r="K144" s="56" t="n">
        <f aca="false">ROUND($B144*K137,0)</f>
        <v>333</v>
      </c>
      <c r="L144" s="56" t="n">
        <f aca="false">ROUND($B144*L137,0)</f>
        <v>294</v>
      </c>
      <c r="M144" s="56" t="n">
        <f aca="false">ROUND($B144*M137,0)</f>
        <v>263</v>
      </c>
      <c r="N144" s="54" t="n">
        <f aca="false">ROUND($B144*N137,0)</f>
        <v>237</v>
      </c>
    </row>
    <row r="145" customFormat="false" ht="13.8" hidden="false" customHeight="false" outlineLevel="0" collapsed="false">
      <c r="A145" s="25" t="s">
        <v>8</v>
      </c>
      <c r="B145" s="26" t="n">
        <v>7794</v>
      </c>
      <c r="C145" s="57" t="n">
        <f aca="false">ROUND($B145*C138,0)</f>
        <v>2579</v>
      </c>
      <c r="D145" s="57" t="n">
        <f aca="false">ROUND($B145*D138,0)</f>
        <v>1928</v>
      </c>
      <c r="E145" s="58" t="n">
        <f aca="false">ROUND($B145*E138,0)</f>
        <v>1500</v>
      </c>
      <c r="F145" s="59" t="n">
        <f aca="false">ROUND($B145*F138,0)</f>
        <v>1382</v>
      </c>
      <c r="G145" s="57" t="n">
        <f aca="false">ROUND($B145*G138,0)</f>
        <v>1062</v>
      </c>
      <c r="H145" s="57" t="n">
        <f aca="false">ROUND($B145*H138,0)</f>
        <v>856</v>
      </c>
      <c r="I145" s="57" t="n">
        <f aca="false">ROUND($B145*I138,0)</f>
        <v>714</v>
      </c>
      <c r="J145" s="57" t="n">
        <f aca="false">ROUND($B145*J138,0)</f>
        <v>610</v>
      </c>
      <c r="K145" s="57" t="n">
        <f aca="false">ROUND($B145*K138,0)</f>
        <v>531</v>
      </c>
      <c r="L145" s="57" t="n">
        <f aca="false">ROUND($B145*L138,0)</f>
        <v>469</v>
      </c>
      <c r="M145" s="57" t="n">
        <f aca="false">ROUND($B145*M138,0)</f>
        <v>419</v>
      </c>
      <c r="N145" s="58" t="n">
        <f aca="false">ROUND($B145*N138,0)</f>
        <v>378</v>
      </c>
    </row>
    <row r="147" customFormat="false" ht="13.8" hidden="false" customHeight="false" outlineLevel="0" collapsed="false">
      <c r="A147" s="32" t="s">
        <v>19</v>
      </c>
    </row>
    <row r="148" customFormat="false" ht="13.8" hidden="false" customHeight="false" outlineLevel="0" collapsed="false">
      <c r="A148" s="6" t="s">
        <v>3</v>
      </c>
      <c r="B148" s="7" t="n">
        <v>0</v>
      </c>
      <c r="C148" s="7" t="n">
        <v>1</v>
      </c>
      <c r="D148" s="7" t="n">
        <v>2</v>
      </c>
      <c r="E148" s="8" t="n">
        <v>3</v>
      </c>
      <c r="F148" s="39" t="n">
        <v>4</v>
      </c>
      <c r="G148" s="40" t="n">
        <v>5</v>
      </c>
      <c r="H148" s="40" t="n">
        <v>6</v>
      </c>
      <c r="I148" s="40" t="n">
        <v>7</v>
      </c>
      <c r="J148" s="40" t="n">
        <v>8</v>
      </c>
      <c r="K148" s="40" t="n">
        <v>9</v>
      </c>
      <c r="L148" s="40" t="n">
        <v>10</v>
      </c>
      <c r="M148" s="40" t="n">
        <v>11</v>
      </c>
      <c r="N148" s="41" t="n">
        <v>12</v>
      </c>
    </row>
    <row r="149" customFormat="false" ht="13.8" hidden="false" customHeight="false" outlineLevel="0" collapsed="false">
      <c r="A149" s="9" t="s">
        <v>5</v>
      </c>
      <c r="B149" s="60" t="n">
        <v>6120.34</v>
      </c>
      <c r="C149" s="61" t="n">
        <v>10277.74</v>
      </c>
      <c r="D149" s="61" t="n">
        <v>13331.83</v>
      </c>
      <c r="E149" s="62" t="n">
        <v>15698.35</v>
      </c>
      <c r="F149" s="63" t="n">
        <f aca="false">F142*$B$131+E149</f>
        <v>17722</v>
      </c>
      <c r="G149" s="64" t="n">
        <f aca="false">G142*$B$131+F149</f>
        <v>19280.96</v>
      </c>
      <c r="H149" s="64" t="n">
        <f aca="false">H142*$B$131+G149</f>
        <v>20540.12</v>
      </c>
      <c r="I149" s="64" t="n">
        <f aca="false">I142*$B$131+H149</f>
        <v>21589.42</v>
      </c>
      <c r="J149" s="64" t="n">
        <f aca="false">J142*$B$131+I149</f>
        <v>22488.82</v>
      </c>
      <c r="K149" s="64" t="n">
        <f aca="false">K142*$B$131+J149</f>
        <v>23268.3</v>
      </c>
      <c r="L149" s="64" t="n">
        <f aca="false">L142*$B$131+K149</f>
        <v>23957.84</v>
      </c>
      <c r="M149" s="64" t="n">
        <f aca="false">M142*$B$131+L149</f>
        <v>24572.43</v>
      </c>
      <c r="N149" s="65" t="n">
        <f aca="false">N142*$B$131+M149</f>
        <v>25127.06</v>
      </c>
    </row>
    <row r="150" customFormat="false" ht="13.8" hidden="false" customHeight="false" outlineLevel="0" collapsed="false">
      <c r="A150" s="17" t="s">
        <v>6</v>
      </c>
      <c r="B150" s="66" t="n">
        <v>11361.8</v>
      </c>
      <c r="C150" s="67" t="n">
        <v>18661.2299999999</v>
      </c>
      <c r="D150" s="67" t="n">
        <v>24361.6599999999</v>
      </c>
      <c r="E150" s="68" t="n">
        <f aca="false">E143*$B$131+D150</f>
        <v>28408.9599999999</v>
      </c>
      <c r="F150" s="69" t="n">
        <f aca="false">F143*$B$131+E150</f>
        <v>32141.4699999999</v>
      </c>
      <c r="G150" s="70" t="n">
        <f aca="false">G143*$B$131+F150</f>
        <v>35004.5599999999</v>
      </c>
      <c r="H150" s="70" t="n">
        <f aca="false">H143*$B$131+G150</f>
        <v>37313.0199999999</v>
      </c>
      <c r="I150" s="70" t="n">
        <f aca="false">I143*$B$131+H150</f>
        <v>39231.7399999999</v>
      </c>
      <c r="J150" s="70" t="n">
        <f aca="false">J143*$B$131+I150</f>
        <v>40880.6399999999</v>
      </c>
      <c r="K150" s="70" t="n">
        <f aca="false">K143*$B$131+J150</f>
        <v>42319.6799999999</v>
      </c>
      <c r="L150" s="70" t="n">
        <f aca="false">L143*$B$131+K150</f>
        <v>43578.8399999999</v>
      </c>
      <c r="M150" s="70" t="n">
        <f aca="false">M143*$B$131+L150</f>
        <v>44703.0899999999</v>
      </c>
      <c r="N150" s="68" t="n">
        <f aca="false">N143*$B$131+M150</f>
        <v>45722.4099999999</v>
      </c>
    </row>
    <row r="151" customFormat="false" ht="13.8" hidden="false" customHeight="false" outlineLevel="0" collapsed="false">
      <c r="A151" s="17" t="s">
        <v>7</v>
      </c>
      <c r="B151" s="66" t="n">
        <v>41723.78</v>
      </c>
      <c r="C151" s="67" t="n">
        <v>67107.8700000008</v>
      </c>
      <c r="D151" s="70" t="n">
        <f aca="false">D144*$B$131+C151</f>
        <v>85230.7800000008</v>
      </c>
      <c r="E151" s="68" t="n">
        <f aca="false">E144*$B$131+D151</f>
        <v>99321.3800000008</v>
      </c>
      <c r="F151" s="69" t="n">
        <f aca="false">F144*$B$131+E151</f>
        <v>112302.720000001</v>
      </c>
      <c r="G151" s="70" t="n">
        <f aca="false">G144*$B$131+F151</f>
        <v>122286.060000001</v>
      </c>
      <c r="H151" s="70" t="n">
        <f aca="false">H144*$B$131+G151</f>
        <v>130335.690000001</v>
      </c>
      <c r="I151" s="70" t="n">
        <f aca="false">I144*$B$131+H151</f>
        <v>137051.210000001</v>
      </c>
      <c r="J151" s="70" t="n">
        <f aca="false">J144*$B$131+I151</f>
        <v>142777.390000001</v>
      </c>
      <c r="K151" s="70" t="n">
        <f aca="false">K144*$B$131+J151</f>
        <v>147769.060000001</v>
      </c>
      <c r="L151" s="70" t="n">
        <f aca="false">L144*$B$131+K151</f>
        <v>152176.120000001</v>
      </c>
      <c r="M151" s="70" t="n">
        <f aca="false">M144*$B$131+L151</f>
        <v>156118.490000001</v>
      </c>
      <c r="N151" s="68" t="n">
        <f aca="false">N144*$B$131+M151</f>
        <v>159671.120000001</v>
      </c>
    </row>
    <row r="152" customFormat="false" ht="13.8" hidden="false" customHeight="false" outlineLevel="0" collapsed="false">
      <c r="A152" s="25" t="s">
        <v>8</v>
      </c>
      <c r="B152" s="71" t="n">
        <v>63521.2600000001</v>
      </c>
      <c r="C152" s="72" t="n">
        <f aca="false">C145*$B$131+B152</f>
        <v>102180.47</v>
      </c>
      <c r="D152" s="72" t="n">
        <f aca="false">D145*$B$131+C152</f>
        <v>131081.19</v>
      </c>
      <c r="E152" s="73" t="n">
        <f aca="false">E145*$B$131+D152</f>
        <v>153566.19</v>
      </c>
      <c r="F152" s="74" t="n">
        <f aca="false">F145*$B$131+E152</f>
        <v>174282.37</v>
      </c>
      <c r="G152" s="72" t="n">
        <f aca="false">G145*$B$131+F152</f>
        <v>190201.75</v>
      </c>
      <c r="H152" s="72" t="n">
        <f aca="false">H145*$B$131+G152</f>
        <v>203033.19</v>
      </c>
      <c r="I152" s="72" t="n">
        <f aca="false">I145*$B$131+H152</f>
        <v>213736.05</v>
      </c>
      <c r="J152" s="72" t="n">
        <f aca="false">J145*$B$131+I152</f>
        <v>222879.95</v>
      </c>
      <c r="K152" s="72" t="n">
        <f aca="false">K145*$B$131+J152</f>
        <v>230839.64</v>
      </c>
      <c r="L152" s="72" t="n">
        <f aca="false">L145*$B$131+K152</f>
        <v>237869.95</v>
      </c>
      <c r="M152" s="72" t="n">
        <f aca="false">M145*$B$131+L152</f>
        <v>244150.76</v>
      </c>
      <c r="N152" s="73" t="n">
        <f aca="false">N145*$B$131+M152</f>
        <v>249816.98</v>
      </c>
    </row>
    <row r="154" customFormat="false" ht="13.8" hidden="false" customHeight="false" outlineLevel="0" collapsed="false">
      <c r="A154" s="32" t="s">
        <v>20</v>
      </c>
    </row>
    <row r="155" customFormat="false" ht="13.8" hidden="false" customHeight="false" outlineLevel="0" collapsed="false">
      <c r="A155" s="6" t="s">
        <v>3</v>
      </c>
      <c r="B155" s="7" t="n">
        <v>0</v>
      </c>
      <c r="C155" s="7" t="n">
        <v>1</v>
      </c>
      <c r="D155" s="7" t="n">
        <v>2</v>
      </c>
      <c r="E155" s="8" t="n">
        <v>3</v>
      </c>
      <c r="F155" s="39" t="n">
        <v>4</v>
      </c>
      <c r="G155" s="40" t="n">
        <v>5</v>
      </c>
      <c r="H155" s="40" t="n">
        <v>6</v>
      </c>
      <c r="I155" s="40" t="n">
        <v>7</v>
      </c>
      <c r="J155" s="40" t="n">
        <v>8</v>
      </c>
      <c r="K155" s="40" t="n">
        <v>9</v>
      </c>
      <c r="L155" s="40" t="n">
        <v>10</v>
      </c>
      <c r="M155" s="40" t="n">
        <v>11</v>
      </c>
      <c r="N155" s="41" t="n">
        <v>12</v>
      </c>
      <c r="O155" s="75" t="s">
        <v>21</v>
      </c>
      <c r="P155" s="75" t="s">
        <v>22</v>
      </c>
    </row>
    <row r="156" customFormat="false" ht="13.8" hidden="false" customHeight="false" outlineLevel="0" collapsed="false">
      <c r="A156" s="9" t="s">
        <v>5</v>
      </c>
      <c r="B156" s="76" t="n">
        <f aca="false">B149/$B142</f>
        <v>8.01091623036649</v>
      </c>
      <c r="C156" s="77" t="n">
        <f aca="false">C149/$B142</f>
        <v>13.4525392670157</v>
      </c>
      <c r="D156" s="77" t="n">
        <f aca="false">D149/$B142</f>
        <v>17.4500392670157</v>
      </c>
      <c r="E156" s="78" t="n">
        <f aca="false">E149/$B142</f>
        <v>20.5475785340314</v>
      </c>
      <c r="F156" s="79" t="n">
        <f aca="false">F149/$B142</f>
        <v>23.196335078534</v>
      </c>
      <c r="G156" s="80" t="n">
        <f aca="false">G149/$B142</f>
        <v>25.2368586387435</v>
      </c>
      <c r="H156" s="80" t="n">
        <f aca="false">H149/$B142</f>
        <v>26.8849738219895</v>
      </c>
      <c r="I156" s="80" t="n">
        <f aca="false">I149/$B142</f>
        <v>28.2584031413613</v>
      </c>
      <c r="J156" s="80" t="n">
        <f aca="false">J149/$B142</f>
        <v>29.4356282722513</v>
      </c>
      <c r="K156" s="80" t="n">
        <f aca="false">K149/$B142</f>
        <v>30.455890052356</v>
      </c>
      <c r="L156" s="80" t="n">
        <f aca="false">L149/$B142</f>
        <v>31.3584293193717</v>
      </c>
      <c r="M156" s="80" t="n">
        <f aca="false">M149/$B142</f>
        <v>32.1628664921466</v>
      </c>
      <c r="N156" s="81" t="n">
        <f aca="false">N149/$B142</f>
        <v>32.8888219895288</v>
      </c>
      <c r="O156" s="82" t="n">
        <f aca="false">E156</f>
        <v>20.5475785340314</v>
      </c>
      <c r="P156" s="82" t="n">
        <f aca="false">N156</f>
        <v>32.8888219895288</v>
      </c>
    </row>
    <row r="157" customFormat="false" ht="13.8" hidden="false" customHeight="false" outlineLevel="0" collapsed="false">
      <c r="A157" s="17" t="s">
        <v>6</v>
      </c>
      <c r="B157" s="83" t="n">
        <f aca="false">B150/$B143</f>
        <v>8.01255289139633</v>
      </c>
      <c r="C157" s="84" t="n">
        <f aca="false">C150/$B143</f>
        <v>13.1602468265162</v>
      </c>
      <c r="D157" s="84" t="n">
        <f aca="false">D150/$B143</f>
        <v>17.1802961918194</v>
      </c>
      <c r="E157" s="85" t="n">
        <f aca="false">E150/$B143</f>
        <v>20.034527503526</v>
      </c>
      <c r="F157" s="86" t="n">
        <f aca="false">F150/$B143</f>
        <v>22.6667630465444</v>
      </c>
      <c r="G157" s="87" t="n">
        <f aca="false">G150/$B143</f>
        <v>24.6858674188998</v>
      </c>
      <c r="H157" s="87" t="n">
        <f aca="false">H150/$B143</f>
        <v>26.3138363892806</v>
      </c>
      <c r="I157" s="87" t="n">
        <f aca="false">I150/$B143</f>
        <v>27.6669534555712</v>
      </c>
      <c r="J157" s="87" t="n">
        <f aca="false">J150/$B143</f>
        <v>28.8297884344146</v>
      </c>
      <c r="K157" s="87" t="n">
        <f aca="false">K150/$B143</f>
        <v>29.8446262341325</v>
      </c>
      <c r="L157" s="87" t="n">
        <f aca="false">L150/$B143</f>
        <v>30.7326093088857</v>
      </c>
      <c r="M157" s="87" t="n">
        <f aca="false">M150/$B143</f>
        <v>31.5254513399153</v>
      </c>
      <c r="N157" s="85" t="n">
        <f aca="false">N150/$B143</f>
        <v>32.2442947813822</v>
      </c>
      <c r="O157" s="82" t="n">
        <f aca="false">E157</f>
        <v>20.034527503526</v>
      </c>
      <c r="P157" s="82" t="n">
        <f aca="false">N157</f>
        <v>32.2442947813822</v>
      </c>
    </row>
    <row r="158" customFormat="false" ht="13.8" hidden="false" customHeight="false" outlineLevel="0" collapsed="false">
      <c r="A158" s="17" t="s">
        <v>7</v>
      </c>
      <c r="B158" s="83" t="n">
        <f aca="false">B151/$B144</f>
        <v>7.99153035816893</v>
      </c>
      <c r="C158" s="84" t="n">
        <f aca="false">C151/$B144</f>
        <v>12.8534514460833</v>
      </c>
      <c r="D158" s="87" t="n">
        <f aca="false">D151/$B144</f>
        <v>16.3246083125839</v>
      </c>
      <c r="E158" s="85" t="n">
        <f aca="false">E151/$B144</f>
        <v>19.023439954032</v>
      </c>
      <c r="F158" s="86" t="n">
        <f aca="false">F151/$B144</f>
        <v>21.5098103811532</v>
      </c>
      <c r="G158" s="87" t="n">
        <f aca="false">G151/$B144</f>
        <v>23.421961310094</v>
      </c>
      <c r="H158" s="87" t="n">
        <f aca="false">H151/$B144</f>
        <v>24.9637406627084</v>
      </c>
      <c r="I158" s="87" t="n">
        <f aca="false">I151/$B144</f>
        <v>26.2499923386326</v>
      </c>
      <c r="J158" s="87" t="n">
        <f aca="false">J151/$B144</f>
        <v>27.3467515801572</v>
      </c>
      <c r="K158" s="87" t="n">
        <f aca="false">K151/$B144</f>
        <v>28.3028270446276</v>
      </c>
      <c r="L158" s="87" t="n">
        <f aca="false">L151/$B144</f>
        <v>29.1469297069528</v>
      </c>
      <c r="M158" s="87" t="n">
        <f aca="false">M151/$B144</f>
        <v>29.9020283470601</v>
      </c>
      <c r="N158" s="85" t="n">
        <f aca="false">N151/$B144</f>
        <v>30.5824784524039</v>
      </c>
      <c r="O158" s="82" t="n">
        <f aca="false">E158</f>
        <v>19.023439954032</v>
      </c>
      <c r="P158" s="82" t="n">
        <f aca="false">N158</f>
        <v>30.5824784524039</v>
      </c>
    </row>
    <row r="159" customFormat="false" ht="13.8" hidden="false" customHeight="false" outlineLevel="0" collapsed="false">
      <c r="A159" s="25" t="s">
        <v>8</v>
      </c>
      <c r="B159" s="88" t="n">
        <f aca="false">B152/$B145</f>
        <v>8.15002052861177</v>
      </c>
      <c r="C159" s="89" t="n">
        <f aca="false">C152/$B145</f>
        <v>13.1101449833205</v>
      </c>
      <c r="D159" s="89" t="n">
        <f aca="false">D152/$B145</f>
        <v>16.8182178598922</v>
      </c>
      <c r="E159" s="90" t="n">
        <f aca="false">E152/$B145</f>
        <v>19.7031293302541</v>
      </c>
      <c r="F159" s="91" t="n">
        <f aca="false">F152/$B145</f>
        <v>22.3610944316141</v>
      </c>
      <c r="G159" s="89" t="n">
        <f aca="false">G152/$B145</f>
        <v>24.4036117526302</v>
      </c>
      <c r="H159" s="89" t="n">
        <f aca="false">H152/$B145</f>
        <v>26.0499345650501</v>
      </c>
      <c r="I159" s="89" t="n">
        <f aca="false">I152/$B145</f>
        <v>27.4231524249423</v>
      </c>
      <c r="J159" s="89" t="n">
        <f aca="false">J152/$B145</f>
        <v>28.5963497562227</v>
      </c>
      <c r="K159" s="89" t="n">
        <f aca="false">K152/$B145</f>
        <v>29.6176084167308</v>
      </c>
      <c r="L159" s="89" t="n">
        <f aca="false">L152/$B145</f>
        <v>30.5196240697973</v>
      </c>
      <c r="M159" s="89" t="n">
        <f aca="false">M152/$B145</f>
        <v>31.325476007185</v>
      </c>
      <c r="N159" s="90" t="n">
        <f aca="false">N152/$B145</f>
        <v>32.0524736977162</v>
      </c>
      <c r="O159" s="82" t="n">
        <f aca="false">E159</f>
        <v>19.7031293302541</v>
      </c>
      <c r="P159" s="82" t="n">
        <f aca="false">N159</f>
        <v>32.0524736977162</v>
      </c>
    </row>
    <row r="160" customFormat="false" ht="13.8" hidden="false" customHeight="false" outlineLevel="0" collapsed="false">
      <c r="N160" s="92" t="s">
        <v>23</v>
      </c>
      <c r="O160" s="93" t="n">
        <f aca="false">SUMPRODUCT(O156:O159,$B142:$B145)/SUM($B142:$B145)</f>
        <v>19.5429940119761</v>
      </c>
      <c r="P160" s="93" t="n">
        <f aca="false">SUMPRODUCT(P156:P159,$B142:$B145)/SUM($B142:$B145)</f>
        <v>31.607394222544</v>
      </c>
    </row>
    <row r="161" customFormat="false" ht="15" hidden="false" customHeight="false" outlineLevel="0" collapsed="false">
      <c r="A161" s="31" t="s">
        <v>26</v>
      </c>
      <c r="B161" s="3"/>
      <c r="C161" s="3"/>
      <c r="D161" s="3"/>
    </row>
    <row r="162" customFormat="false" ht="13.8" hidden="false" customHeight="false" outlineLevel="0" collapsed="false">
      <c r="A162" s="32" t="s">
        <v>24</v>
      </c>
    </row>
    <row r="164" customFormat="false" ht="13.8" hidden="false" customHeight="false" outlineLevel="0" collapsed="false">
      <c r="A164" s="33" t="s">
        <v>15</v>
      </c>
      <c r="B164" s="34"/>
      <c r="F164" s="33"/>
    </row>
    <row r="165" customFormat="false" ht="13.8" hidden="false" customHeight="false" outlineLevel="0" collapsed="false">
      <c r="A165" s="1" t="s">
        <v>16</v>
      </c>
      <c r="B165" s="35" t="n">
        <v>0.88</v>
      </c>
      <c r="F165" s="33"/>
    </row>
    <row r="166" customFormat="false" ht="13.8" hidden="false" customHeight="false" outlineLevel="0" collapsed="false">
      <c r="A166" s="1" t="s">
        <v>17</v>
      </c>
      <c r="B166" s="35" t="n">
        <v>4.7</v>
      </c>
      <c r="F166" s="33"/>
    </row>
    <row r="167" customFormat="false" ht="13.8" hidden="false" customHeight="false" outlineLevel="0" collapsed="false">
      <c r="A167" s="1" t="s">
        <v>18</v>
      </c>
      <c r="B167" s="35" t="n">
        <v>4.99</v>
      </c>
      <c r="F167" s="33"/>
    </row>
    <row r="168" customFormat="false" ht="13.8" hidden="false" customHeight="false" outlineLevel="0" collapsed="false">
      <c r="B168" s="35"/>
      <c r="F168" s="33"/>
    </row>
    <row r="169" customFormat="false" ht="13.8" hidden="false" customHeight="false" outlineLevel="0" collapsed="false">
      <c r="A169" s="36" t="s">
        <v>2</v>
      </c>
      <c r="B169" s="37" t="n">
        <f aca="false">AVERAGE(B171:B174)</f>
        <v>1</v>
      </c>
      <c r="C169" s="37" t="n">
        <f aca="false">AVERAGE(C171:C173)</f>
        <v>0.0237457365906879</v>
      </c>
      <c r="D169" s="37" t="n">
        <f aca="false">AVERAGE(D171:D172)</f>
        <v>0.00623139063030014</v>
      </c>
      <c r="E169" s="37" t="n">
        <f aca="false">AVERAGE(E171)</f>
        <v>0</v>
      </c>
      <c r="F169" s="38" t="n">
        <f aca="false">$B165*F170^(-$B166)</f>
        <v>0.00130256892434487</v>
      </c>
      <c r="G169" s="38" t="n">
        <f aca="false">$B165*G170^(-$B166)</f>
        <v>0.000456376897628682</v>
      </c>
      <c r="H169" s="38" t="n">
        <f aca="false">$B165*H170^(-$B166)</f>
        <v>0.000193718811250069</v>
      </c>
      <c r="I169" s="38" t="n">
        <f aca="false">$B165*I170^(-$B166)</f>
        <v>9.3868933600195E-005</v>
      </c>
      <c r="J169" s="38" t="n">
        <f aca="false">$B165*J170^(-$B166)</f>
        <v>5.01140766938715E-005</v>
      </c>
      <c r="K169" s="38" t="n">
        <f aca="false">$B165*K170^(-$B166)</f>
        <v>2.88099747589282E-005</v>
      </c>
      <c r="L169" s="38" t="n">
        <f aca="false">$B165*L170^(-$B166)</f>
        <v>1.75583083717261E-005</v>
      </c>
      <c r="M169" s="38" t="n">
        <f aca="false">$B165*M170^(-$B166)</f>
        <v>1.12185583698318E-005</v>
      </c>
      <c r="N169" s="38" t="n">
        <f aca="false">$B165*N170^(-$B166)</f>
        <v>7.45299475719817E-006</v>
      </c>
    </row>
    <row r="170" customFormat="false" ht="13.8" hidden="false" customHeight="false" outlineLevel="0" collapsed="false">
      <c r="A170" s="6" t="s">
        <v>3</v>
      </c>
      <c r="B170" s="7" t="n">
        <v>0</v>
      </c>
      <c r="C170" s="7" t="n">
        <v>1</v>
      </c>
      <c r="D170" s="7" t="n">
        <v>2</v>
      </c>
      <c r="E170" s="8" t="n">
        <v>3</v>
      </c>
      <c r="F170" s="39" t="n">
        <v>4</v>
      </c>
      <c r="G170" s="40" t="n">
        <v>5</v>
      </c>
      <c r="H170" s="40" t="n">
        <v>6</v>
      </c>
      <c r="I170" s="40" t="n">
        <v>7</v>
      </c>
      <c r="J170" s="40" t="n">
        <v>8</v>
      </c>
      <c r="K170" s="40" t="n">
        <v>9</v>
      </c>
      <c r="L170" s="40" t="n">
        <v>10</v>
      </c>
      <c r="M170" s="40" t="n">
        <v>11</v>
      </c>
      <c r="N170" s="41" t="n">
        <v>12</v>
      </c>
    </row>
    <row r="171" customFormat="false" ht="13.8" hidden="false" customHeight="false" outlineLevel="0" collapsed="false">
      <c r="A171" s="9" t="s">
        <v>5</v>
      </c>
      <c r="B171" s="14" t="n">
        <f aca="false">B178/$B178</f>
        <v>1</v>
      </c>
      <c r="C171" s="15" t="n">
        <f aca="false">C178/$B178</f>
        <v>0.0291970802919708</v>
      </c>
      <c r="D171" s="15" t="n">
        <f aca="false">D178/$B178</f>
        <v>0.0072992700729927</v>
      </c>
      <c r="E171" s="16" t="n">
        <f aca="false">E178/$B178</f>
        <v>0</v>
      </c>
      <c r="F171" s="42" t="n">
        <f aca="false">IF(E$169 = 0, 0, E171*(F$169/E$169))</f>
        <v>0</v>
      </c>
      <c r="G171" s="43" t="n">
        <f aca="false">IF(F$169 = 0, 0, F171*(G$169/F$169))</f>
        <v>0</v>
      </c>
      <c r="H171" s="43" t="n">
        <f aca="false">IF(G$169 = 0, 0, G171*(H$169/G$169))</f>
        <v>0</v>
      </c>
      <c r="I171" s="43" t="n">
        <f aca="false">IF(H$169 = 0, 0, H171*(I$169/H$169))</f>
        <v>0</v>
      </c>
      <c r="J171" s="43" t="n">
        <f aca="false">IF(I$169 = 0, 0, I171*(J$169/I$169))</f>
        <v>0</v>
      </c>
      <c r="K171" s="43" t="n">
        <f aca="false">IF(J$169 = 0, 0, J171*(K$169/J$169))</f>
        <v>0</v>
      </c>
      <c r="L171" s="43" t="n">
        <f aca="false">IF(K$169 = 0, 0, K171*(L$169/K$169))</f>
        <v>0</v>
      </c>
      <c r="M171" s="43" t="n">
        <f aca="false">IF(L$169 = 0, 0, L171*(M$169/L$169))</f>
        <v>0</v>
      </c>
      <c r="N171" s="44" t="n">
        <f aca="false">IF(M$169 = 0, 0, M171*(N$169/M$169))</f>
        <v>0</v>
      </c>
    </row>
    <row r="172" customFormat="false" ht="13.8" hidden="false" customHeight="false" outlineLevel="0" collapsed="false">
      <c r="A172" s="17" t="s">
        <v>6</v>
      </c>
      <c r="B172" s="22" t="n">
        <f aca="false">B179/$B179</f>
        <v>1</v>
      </c>
      <c r="C172" s="23" t="n">
        <f aca="false">C179/$B179</f>
        <v>0.0240963855421687</v>
      </c>
      <c r="D172" s="23" t="n">
        <f aca="false">D179/$B179</f>
        <v>0.00516351118760757</v>
      </c>
      <c r="E172" s="45" t="n">
        <f aca="false">IF(D$169 = 0, 0, D172*(E$169/D$169))</f>
        <v>0</v>
      </c>
      <c r="F172" s="46" t="n">
        <f aca="false">IF(E$169 = 0, 0, E172*(F$169/E$169))</f>
        <v>0</v>
      </c>
      <c r="G172" s="47" t="n">
        <f aca="false">IF(F$169 = 0, 0, F172*(G$169/F$169))</f>
        <v>0</v>
      </c>
      <c r="H172" s="47" t="n">
        <f aca="false">IF(G$169 = 0, 0, G172*(H$169/G$169))</f>
        <v>0</v>
      </c>
      <c r="I172" s="47" t="n">
        <f aca="false">IF(H$169 = 0, 0, H172*(I$169/H$169))</f>
        <v>0</v>
      </c>
      <c r="J172" s="47" t="n">
        <f aca="false">IF(I$169 = 0, 0, I172*(J$169/I$169))</f>
        <v>0</v>
      </c>
      <c r="K172" s="47" t="n">
        <f aca="false">IF(J$169 = 0, 0, J172*(K$169/J$169))</f>
        <v>0</v>
      </c>
      <c r="L172" s="47" t="n">
        <f aca="false">IF(K$169 = 0, 0, K172*(L$169/K$169))</f>
        <v>0</v>
      </c>
      <c r="M172" s="47" t="n">
        <f aca="false">IF(L$169 = 0, 0, L172*(M$169/L$169))</f>
        <v>0</v>
      </c>
      <c r="N172" s="45" t="n">
        <f aca="false">IF(M$169 = 0, 0, M172*(N$169/M$169))</f>
        <v>0</v>
      </c>
    </row>
    <row r="173" customFormat="false" ht="13.8" hidden="false" customHeight="false" outlineLevel="0" collapsed="false">
      <c r="A173" s="17" t="s">
        <v>7</v>
      </c>
      <c r="B173" s="22" t="n">
        <f aca="false">B180/$B180</f>
        <v>1</v>
      </c>
      <c r="C173" s="23" t="n">
        <f aca="false">C180/$B180</f>
        <v>0.0179437439379243</v>
      </c>
      <c r="D173" s="47" t="n">
        <f aca="false">IF(C$169 = 0, 0, C173*(D$169/C$169))</f>
        <v>0.00470882330477529</v>
      </c>
      <c r="E173" s="45" t="n">
        <f aca="false">IF(D$169 = 0, 0, D173*(E$169/D$169))</f>
        <v>0</v>
      </c>
      <c r="F173" s="46" t="n">
        <f aca="false">IF(E$169 = 0, 0, E173*(F$169/E$169))</f>
        <v>0</v>
      </c>
      <c r="G173" s="47" t="n">
        <f aca="false">IF(F$169 = 0, 0, F173*(G$169/F$169))</f>
        <v>0</v>
      </c>
      <c r="H173" s="47" t="n">
        <f aca="false">IF(G$169 = 0, 0, G173*(H$169/G$169))</f>
        <v>0</v>
      </c>
      <c r="I173" s="47" t="n">
        <f aca="false">IF(H$169 = 0, 0, H173*(I$169/H$169))</f>
        <v>0</v>
      </c>
      <c r="J173" s="47" t="n">
        <f aca="false">IF(I$169 = 0, 0, I173*(J$169/I$169))</f>
        <v>0</v>
      </c>
      <c r="K173" s="47" t="n">
        <f aca="false">IF(J$169 = 0, 0, J173*(K$169/J$169))</f>
        <v>0</v>
      </c>
      <c r="L173" s="47" t="n">
        <f aca="false">IF(K$169 = 0, 0, K173*(L$169/K$169))</f>
        <v>0</v>
      </c>
      <c r="M173" s="47" t="n">
        <f aca="false">IF(L$169 = 0, 0, L173*(M$169/L$169))</f>
        <v>0</v>
      </c>
      <c r="N173" s="45" t="n">
        <f aca="false">IF(M$169 = 0, 0, M173*(N$169/M$169))</f>
        <v>0</v>
      </c>
      <c r="Q173" s="94"/>
      <c r="R173" s="94"/>
      <c r="S173" s="94"/>
    </row>
    <row r="174" customFormat="false" ht="13.8" hidden="false" customHeight="false" outlineLevel="0" collapsed="false">
      <c r="A174" s="25" t="s">
        <v>8</v>
      </c>
      <c r="B174" s="30" t="n">
        <f aca="false">B181/$B181</f>
        <v>1</v>
      </c>
      <c r="C174" s="48" t="n">
        <f aca="false">IF(B$169 = 0, 0, B174*(C$169/B$169))</f>
        <v>0.0237457365906879</v>
      </c>
      <c r="D174" s="48" t="n">
        <f aca="false">IF(C$169 = 0, 0, C174*(D$169/C$169))</f>
        <v>0.00623139063030014</v>
      </c>
      <c r="E174" s="49" t="n">
        <f aca="false">IF(D$169 = 0, 0, D174*(E$169/D$169))</f>
        <v>0</v>
      </c>
      <c r="F174" s="50" t="n">
        <f aca="false">IF(E$169 = 0, 0, E174*(F$169/E$169))</f>
        <v>0</v>
      </c>
      <c r="G174" s="48" t="n">
        <f aca="false">IF(F$169 = 0, 0, F174*(G$169/F$169))</f>
        <v>0</v>
      </c>
      <c r="H174" s="48" t="n">
        <f aca="false">IF(G$169 = 0, 0, G174*(H$169/G$169))</f>
        <v>0</v>
      </c>
      <c r="I174" s="48" t="n">
        <f aca="false">IF(H$169 = 0, 0, H174*(I$169/H$169))</f>
        <v>0</v>
      </c>
      <c r="J174" s="48" t="n">
        <f aca="false">IF(I$169 = 0, 0, I174*(J$169/I$169))</f>
        <v>0</v>
      </c>
      <c r="K174" s="48" t="n">
        <f aca="false">IF(J$169 = 0, 0, J174*(K$169/J$169))</f>
        <v>0</v>
      </c>
      <c r="L174" s="48" t="n">
        <f aca="false">IF(K$169 = 0, 0, K174*(L$169/K$169))</f>
        <v>0</v>
      </c>
      <c r="M174" s="48" t="n">
        <f aca="false">IF(L$169 = 0, 0, L174*(M$169/L$169))</f>
        <v>0</v>
      </c>
      <c r="N174" s="49" t="n">
        <f aca="false">IF(M$169 = 0, 0, M174*(N$169/M$169))</f>
        <v>0</v>
      </c>
    </row>
    <row r="176" customFormat="false" ht="13.8" hidden="false" customHeight="false" outlineLevel="0" collapsed="false">
      <c r="A176" s="36" t="s">
        <v>1</v>
      </c>
      <c r="B176" s="34"/>
    </row>
    <row r="177" customFormat="false" ht="13.8" hidden="false" customHeight="false" outlineLevel="0" collapsed="false">
      <c r="A177" s="6" t="s">
        <v>3</v>
      </c>
      <c r="B177" s="7" t="n">
        <v>0</v>
      </c>
      <c r="C177" s="7" t="n">
        <v>1</v>
      </c>
      <c r="D177" s="7" t="n">
        <v>2</v>
      </c>
      <c r="E177" s="8" t="n">
        <v>3</v>
      </c>
      <c r="F177" s="39" t="n">
        <v>4</v>
      </c>
      <c r="G177" s="40" t="n">
        <v>5</v>
      </c>
      <c r="H177" s="40" t="n">
        <v>6</v>
      </c>
      <c r="I177" s="40" t="n">
        <v>7</v>
      </c>
      <c r="J177" s="40" t="n">
        <v>8</v>
      </c>
      <c r="K177" s="40" t="n">
        <v>9</v>
      </c>
      <c r="L177" s="40" t="n">
        <v>10</v>
      </c>
      <c r="M177" s="40" t="n">
        <v>11</v>
      </c>
      <c r="N177" s="41" t="n">
        <v>12</v>
      </c>
    </row>
    <row r="178" customFormat="false" ht="13.8" hidden="false" customHeight="false" outlineLevel="0" collapsed="false">
      <c r="A178" s="9" t="s">
        <v>5</v>
      </c>
      <c r="B178" s="10" t="n">
        <v>274</v>
      </c>
      <c r="C178" s="11" t="n">
        <v>8</v>
      </c>
      <c r="D178" s="11" t="n">
        <v>2</v>
      </c>
      <c r="E178" s="12" t="n">
        <v>0</v>
      </c>
      <c r="F178" s="51" t="n">
        <f aca="false">ROUND($B178*F171,0)</f>
        <v>0</v>
      </c>
      <c r="G178" s="52" t="n">
        <f aca="false">ROUND($B178*G171,0)</f>
        <v>0</v>
      </c>
      <c r="H178" s="52" t="n">
        <f aca="false">ROUND($B178*H171,0)</f>
        <v>0</v>
      </c>
      <c r="I178" s="52" t="n">
        <f aca="false">ROUND($B178*I171,0)</f>
        <v>0</v>
      </c>
      <c r="J178" s="52" t="n">
        <f aca="false">ROUND($B178*J171,0)</f>
        <v>0</v>
      </c>
      <c r="K178" s="52" t="n">
        <f aca="false">ROUND($B178*K171,0)</f>
        <v>0</v>
      </c>
      <c r="L178" s="52" t="n">
        <f aca="false">ROUND($B178*L171,0)</f>
        <v>0</v>
      </c>
      <c r="M178" s="52" t="n">
        <f aca="false">ROUND($B178*M171,0)</f>
        <v>0</v>
      </c>
      <c r="N178" s="53" t="n">
        <f aca="false">ROUND($B178*N171,0)</f>
        <v>0</v>
      </c>
    </row>
    <row r="179" customFormat="false" ht="13.8" hidden="false" customHeight="false" outlineLevel="0" collapsed="false">
      <c r="A179" s="17" t="s">
        <v>6</v>
      </c>
      <c r="B179" s="18" t="n">
        <v>581</v>
      </c>
      <c r="C179" s="19" t="n">
        <v>14</v>
      </c>
      <c r="D179" s="19" t="n">
        <v>3</v>
      </c>
      <c r="E179" s="54" t="n">
        <f aca="false">ROUND($B179*E172,0)</f>
        <v>0</v>
      </c>
      <c r="F179" s="55" t="n">
        <f aca="false">ROUND($B179*F172,0)</f>
        <v>0</v>
      </c>
      <c r="G179" s="56" t="n">
        <f aca="false">ROUND($B179*G172,0)</f>
        <v>0</v>
      </c>
      <c r="H179" s="56" t="n">
        <f aca="false">ROUND($B179*H172,0)</f>
        <v>0</v>
      </c>
      <c r="I179" s="56" t="n">
        <f aca="false">ROUND($B179*I172,0)</f>
        <v>0</v>
      </c>
      <c r="J179" s="56" t="n">
        <f aca="false">ROUND($B179*J172,0)</f>
        <v>0</v>
      </c>
      <c r="K179" s="56" t="n">
        <f aca="false">ROUND($B179*K172,0)</f>
        <v>0</v>
      </c>
      <c r="L179" s="56" t="n">
        <f aca="false">ROUND($B179*L172,0)</f>
        <v>0</v>
      </c>
      <c r="M179" s="56" t="n">
        <f aca="false">ROUND($B179*M172,0)</f>
        <v>0</v>
      </c>
      <c r="N179" s="54" t="n">
        <f aca="false">ROUND($B179*N172,0)</f>
        <v>0</v>
      </c>
    </row>
    <row r="180" customFormat="false" ht="13.8" hidden="false" customHeight="false" outlineLevel="0" collapsed="false">
      <c r="A180" s="17" t="s">
        <v>7</v>
      </c>
      <c r="B180" s="18" t="n">
        <v>2062</v>
      </c>
      <c r="C180" s="19" t="n">
        <v>37</v>
      </c>
      <c r="D180" s="56" t="n">
        <f aca="false">ROUND($B180*D173,0)</f>
        <v>10</v>
      </c>
      <c r="E180" s="54" t="n">
        <f aca="false">ROUND($B180*E173,0)</f>
        <v>0</v>
      </c>
      <c r="F180" s="55" t="n">
        <f aca="false">ROUND($B180*F173,0)</f>
        <v>0</v>
      </c>
      <c r="G180" s="56" t="n">
        <f aca="false">ROUND($B180*G173,0)</f>
        <v>0</v>
      </c>
      <c r="H180" s="56" t="n">
        <f aca="false">ROUND($B180*H173,0)</f>
        <v>0</v>
      </c>
      <c r="I180" s="56" t="n">
        <f aca="false">ROUND($B180*I173,0)</f>
        <v>0</v>
      </c>
      <c r="J180" s="56" t="n">
        <f aca="false">ROUND($B180*J173,0)</f>
        <v>0</v>
      </c>
      <c r="K180" s="56" t="n">
        <f aca="false">ROUND($B180*K173,0)</f>
        <v>0</v>
      </c>
      <c r="L180" s="56" t="n">
        <f aca="false">ROUND($B180*L173,0)</f>
        <v>0</v>
      </c>
      <c r="M180" s="56" t="n">
        <f aca="false">ROUND($B180*M173,0)</f>
        <v>0</v>
      </c>
      <c r="N180" s="54" t="n">
        <f aca="false">ROUND($B180*N173,0)</f>
        <v>0</v>
      </c>
    </row>
    <row r="181" customFormat="false" ht="13.8" hidden="false" customHeight="false" outlineLevel="0" collapsed="false">
      <c r="A181" s="25" t="s">
        <v>8</v>
      </c>
      <c r="B181" s="26" t="n">
        <v>3142</v>
      </c>
      <c r="C181" s="57" t="n">
        <f aca="false">ROUND($B181*C174,0)</f>
        <v>75</v>
      </c>
      <c r="D181" s="57" t="n">
        <f aca="false">ROUND($B181*D174,0)</f>
        <v>20</v>
      </c>
      <c r="E181" s="58" t="n">
        <f aca="false">ROUND($B181*E174,0)</f>
        <v>0</v>
      </c>
      <c r="F181" s="59" t="n">
        <f aca="false">ROUND($B181*F174,0)</f>
        <v>0</v>
      </c>
      <c r="G181" s="57" t="n">
        <f aca="false">ROUND($B181*G174,0)</f>
        <v>0</v>
      </c>
      <c r="H181" s="57" t="n">
        <f aca="false">ROUND($B181*H174,0)</f>
        <v>0</v>
      </c>
      <c r="I181" s="57" t="n">
        <f aca="false">ROUND($B181*I174,0)</f>
        <v>0</v>
      </c>
      <c r="J181" s="57" t="n">
        <f aca="false">ROUND($B181*J174,0)</f>
        <v>0</v>
      </c>
      <c r="K181" s="57" t="n">
        <f aca="false">ROUND($B181*K174,0)</f>
        <v>0</v>
      </c>
      <c r="L181" s="57" t="n">
        <f aca="false">ROUND($B181*L174,0)</f>
        <v>0</v>
      </c>
      <c r="M181" s="57" t="n">
        <f aca="false">ROUND($B181*M174,0)</f>
        <v>0</v>
      </c>
      <c r="N181" s="58" t="n">
        <f aca="false">ROUND($B181*N174,0)</f>
        <v>0</v>
      </c>
    </row>
    <row r="183" customFormat="false" ht="13.8" hidden="false" customHeight="false" outlineLevel="0" collapsed="false">
      <c r="A183" s="32" t="s">
        <v>19</v>
      </c>
    </row>
    <row r="184" customFormat="false" ht="13.8" hidden="false" customHeight="false" outlineLevel="0" collapsed="false">
      <c r="A184" s="6" t="s">
        <v>3</v>
      </c>
      <c r="B184" s="7" t="n">
        <v>0</v>
      </c>
      <c r="C184" s="7" t="n">
        <v>1</v>
      </c>
      <c r="D184" s="7" t="n">
        <v>2</v>
      </c>
      <c r="E184" s="8" t="n">
        <v>3</v>
      </c>
      <c r="F184" s="39" t="n">
        <v>4</v>
      </c>
      <c r="G184" s="40" t="n">
        <v>5</v>
      </c>
      <c r="H184" s="40" t="n">
        <v>6</v>
      </c>
      <c r="I184" s="40" t="n">
        <v>7</v>
      </c>
      <c r="J184" s="40" t="n">
        <v>8</v>
      </c>
      <c r="K184" s="40" t="n">
        <v>9</v>
      </c>
      <c r="L184" s="40" t="n">
        <v>10</v>
      </c>
      <c r="M184" s="40" t="n">
        <v>11</v>
      </c>
      <c r="N184" s="41" t="n">
        <v>12</v>
      </c>
    </row>
    <row r="185" customFormat="false" ht="13.8" hidden="false" customHeight="false" outlineLevel="0" collapsed="false">
      <c r="A185" s="9" t="s">
        <v>5</v>
      </c>
      <c r="B185" s="60" t="n">
        <v>1536.92</v>
      </c>
      <c r="C185" s="61" t="n">
        <v>1591.81</v>
      </c>
      <c r="D185" s="61" t="n">
        <v>1606.78</v>
      </c>
      <c r="E185" s="61" t="n">
        <v>1606.78</v>
      </c>
      <c r="F185" s="63" t="n">
        <f aca="false">F178*$B$167+E185</f>
        <v>1606.78</v>
      </c>
      <c r="G185" s="64" t="n">
        <f aca="false">G178*$B$167+F185</f>
        <v>1606.78</v>
      </c>
      <c r="H185" s="64" t="n">
        <f aca="false">H178*$B$167+G185</f>
        <v>1606.78</v>
      </c>
      <c r="I185" s="64" t="n">
        <f aca="false">I178*$B$167+H185</f>
        <v>1606.78</v>
      </c>
      <c r="J185" s="64" t="n">
        <f aca="false">J178*$B$167+I185</f>
        <v>1606.78</v>
      </c>
      <c r="K185" s="64" t="n">
        <f aca="false">K178*$B$167+J185</f>
        <v>1606.78</v>
      </c>
      <c r="L185" s="64" t="n">
        <f aca="false">L178*$B$167+K185</f>
        <v>1606.78</v>
      </c>
      <c r="M185" s="64" t="n">
        <f aca="false">M178*$B$167+L185</f>
        <v>1606.78</v>
      </c>
      <c r="N185" s="65" t="n">
        <f aca="false">N178*$B$167+M185</f>
        <v>1606.78</v>
      </c>
    </row>
    <row r="186" customFormat="false" ht="13.8" hidden="false" customHeight="false" outlineLevel="0" collapsed="false">
      <c r="A186" s="17" t="s">
        <v>6</v>
      </c>
      <c r="B186" s="66" t="n">
        <v>3308.36999999998</v>
      </c>
      <c r="C186" s="67" t="n">
        <v>3497.98999999998</v>
      </c>
      <c r="D186" s="67" t="n">
        <v>3517.94999999998</v>
      </c>
      <c r="E186" s="68" t="n">
        <f aca="false">E179*$B$167+D186</f>
        <v>3517.94999999998</v>
      </c>
      <c r="F186" s="69" t="n">
        <f aca="false">F179*$B$167+E186</f>
        <v>3517.94999999998</v>
      </c>
      <c r="G186" s="70" t="n">
        <f aca="false">G179*$B$167+F186</f>
        <v>3517.94999999998</v>
      </c>
      <c r="H186" s="70" t="n">
        <f aca="false">H179*$B$167+G186</f>
        <v>3517.94999999998</v>
      </c>
      <c r="I186" s="70" t="n">
        <f aca="false">I179*$B$167+H186</f>
        <v>3517.94999999998</v>
      </c>
      <c r="J186" s="70" t="n">
        <f aca="false">J179*$B$167+I186</f>
        <v>3517.94999999998</v>
      </c>
      <c r="K186" s="70" t="n">
        <f aca="false">K179*$B$167+J186</f>
        <v>3517.94999999998</v>
      </c>
      <c r="L186" s="70" t="n">
        <f aca="false">L179*$B$167+K186</f>
        <v>3517.94999999998</v>
      </c>
      <c r="M186" s="70" t="n">
        <f aca="false">M179*$B$167+L186</f>
        <v>3517.94999999998</v>
      </c>
      <c r="N186" s="68" t="n">
        <f aca="false">N179*$B$167+M186</f>
        <v>3517.94999999998</v>
      </c>
    </row>
    <row r="187" customFormat="false" ht="13.8" hidden="false" customHeight="false" outlineLevel="0" collapsed="false">
      <c r="A187" s="17" t="s">
        <v>7</v>
      </c>
      <c r="B187" s="66" t="n">
        <v>11786.3799999998</v>
      </c>
      <c r="C187" s="67" t="n">
        <v>12120.7099999998</v>
      </c>
      <c r="D187" s="70" t="n">
        <f aca="false">D180*$B$167+C187</f>
        <v>12170.6099999998</v>
      </c>
      <c r="E187" s="68" t="n">
        <f aca="false">E180*$B$167+D187</f>
        <v>12170.6099999998</v>
      </c>
      <c r="F187" s="69" t="n">
        <f aca="false">F180*$B$167+E187</f>
        <v>12170.6099999998</v>
      </c>
      <c r="G187" s="70" t="n">
        <f aca="false">G180*$B$167+F187</f>
        <v>12170.6099999998</v>
      </c>
      <c r="H187" s="70" t="n">
        <f aca="false">H180*$B$167+G187</f>
        <v>12170.6099999998</v>
      </c>
      <c r="I187" s="70" t="n">
        <f aca="false">I180*$B$167+H187</f>
        <v>12170.6099999998</v>
      </c>
      <c r="J187" s="70" t="n">
        <f aca="false">J180*$B$167+I187</f>
        <v>12170.6099999998</v>
      </c>
      <c r="K187" s="70" t="n">
        <f aca="false">K180*$B$167+J187</f>
        <v>12170.6099999998</v>
      </c>
      <c r="L187" s="70" t="n">
        <f aca="false">L180*$B$167+K187</f>
        <v>12170.6099999998</v>
      </c>
      <c r="M187" s="70" t="n">
        <f aca="false">M180*$B$167+L187</f>
        <v>12170.6099999998</v>
      </c>
      <c r="N187" s="68" t="n">
        <f aca="false">N180*$B$167+M187</f>
        <v>12170.6099999998</v>
      </c>
    </row>
    <row r="188" customFormat="false" ht="13.8" hidden="false" customHeight="false" outlineLevel="0" collapsed="false">
      <c r="A188" s="25" t="s">
        <v>8</v>
      </c>
      <c r="B188" s="71" t="n">
        <v>18243.4400000004</v>
      </c>
      <c r="C188" s="72" t="n">
        <f aca="false">C181*$B$167+B188</f>
        <v>18617.6900000004</v>
      </c>
      <c r="D188" s="72" t="n">
        <f aca="false">D181*$B$167+C188</f>
        <v>18717.4900000004</v>
      </c>
      <c r="E188" s="73" t="n">
        <f aca="false">E181*$B$167+D188</f>
        <v>18717.4900000004</v>
      </c>
      <c r="F188" s="74" t="n">
        <f aca="false">F181*$B$167+E188</f>
        <v>18717.4900000004</v>
      </c>
      <c r="G188" s="72" t="n">
        <f aca="false">G181*$B$167+F188</f>
        <v>18717.4900000004</v>
      </c>
      <c r="H188" s="72" t="n">
        <f aca="false">H181*$B$167+G188</f>
        <v>18717.4900000004</v>
      </c>
      <c r="I188" s="72" t="n">
        <f aca="false">I181*$B$167+H188</f>
        <v>18717.4900000004</v>
      </c>
      <c r="J188" s="72" t="n">
        <f aca="false">J181*$B$167+I188</f>
        <v>18717.4900000004</v>
      </c>
      <c r="K188" s="72" t="n">
        <f aca="false">K181*$B$167+J188</f>
        <v>18717.4900000004</v>
      </c>
      <c r="L188" s="72" t="n">
        <f aca="false">L181*$B$167+K188</f>
        <v>18717.4900000004</v>
      </c>
      <c r="M188" s="72" t="n">
        <f aca="false">M181*$B$167+L188</f>
        <v>18717.4900000004</v>
      </c>
      <c r="N188" s="73" t="n">
        <f aca="false">N181*$B$167+M188</f>
        <v>18717.4900000004</v>
      </c>
    </row>
    <row r="190" customFormat="false" ht="13.8" hidden="false" customHeight="false" outlineLevel="0" collapsed="false">
      <c r="A190" s="32" t="s">
        <v>20</v>
      </c>
    </row>
    <row r="191" customFormat="false" ht="13.8" hidden="false" customHeight="false" outlineLevel="0" collapsed="false">
      <c r="A191" s="6" t="s">
        <v>3</v>
      </c>
      <c r="B191" s="7" t="n">
        <v>0</v>
      </c>
      <c r="C191" s="7" t="n">
        <v>1</v>
      </c>
      <c r="D191" s="7" t="n">
        <v>2</v>
      </c>
      <c r="E191" s="8" t="n">
        <v>3</v>
      </c>
      <c r="F191" s="39" t="n">
        <v>4</v>
      </c>
      <c r="G191" s="40" t="n">
        <v>5</v>
      </c>
      <c r="H191" s="40" t="n">
        <v>6</v>
      </c>
      <c r="I191" s="40" t="n">
        <v>7</v>
      </c>
      <c r="J191" s="40" t="n">
        <v>8</v>
      </c>
      <c r="K191" s="40" t="n">
        <v>9</v>
      </c>
      <c r="L191" s="40" t="n">
        <v>10</v>
      </c>
      <c r="M191" s="40" t="n">
        <v>11</v>
      </c>
      <c r="N191" s="41" t="n">
        <v>12</v>
      </c>
      <c r="O191" s="75" t="s">
        <v>21</v>
      </c>
      <c r="P191" s="75" t="s">
        <v>22</v>
      </c>
    </row>
    <row r="192" customFormat="false" ht="13.8" hidden="false" customHeight="false" outlineLevel="0" collapsed="false">
      <c r="A192" s="9" t="s">
        <v>5</v>
      </c>
      <c r="B192" s="76" t="n">
        <f aca="false">B185/$B178</f>
        <v>5.60919708029198</v>
      </c>
      <c r="C192" s="77" t="n">
        <f aca="false">C185/$B178</f>
        <v>5.80952554744526</v>
      </c>
      <c r="D192" s="77" t="n">
        <f aca="false">D185/$B178</f>
        <v>5.86416058394162</v>
      </c>
      <c r="E192" s="78" t="n">
        <f aca="false">E185/$B178</f>
        <v>5.86416058394162</v>
      </c>
      <c r="F192" s="79" t="n">
        <f aca="false">F185/$B178</f>
        <v>5.86416058394162</v>
      </c>
      <c r="G192" s="80" t="n">
        <f aca="false">G185/$B178</f>
        <v>5.86416058394162</v>
      </c>
      <c r="H192" s="80" t="n">
        <f aca="false">H185/$B178</f>
        <v>5.86416058394162</v>
      </c>
      <c r="I192" s="80" t="n">
        <f aca="false">I185/$B178</f>
        <v>5.86416058394162</v>
      </c>
      <c r="J192" s="80" t="n">
        <f aca="false">J185/$B178</f>
        <v>5.86416058394162</v>
      </c>
      <c r="K192" s="80" t="n">
        <f aca="false">K185/$B178</f>
        <v>5.86416058394162</v>
      </c>
      <c r="L192" s="80" t="n">
        <f aca="false">L185/$B178</f>
        <v>5.86416058394162</v>
      </c>
      <c r="M192" s="80" t="n">
        <f aca="false">M185/$B178</f>
        <v>5.86416058394162</v>
      </c>
      <c r="N192" s="81" t="n">
        <f aca="false">N185/$B178</f>
        <v>5.86416058394162</v>
      </c>
      <c r="O192" s="82" t="n">
        <f aca="false">E192</f>
        <v>5.86416058394162</v>
      </c>
      <c r="P192" s="82" t="n">
        <f aca="false">N192</f>
        <v>5.86416058394162</v>
      </c>
    </row>
    <row r="193" customFormat="false" ht="13.8" hidden="false" customHeight="false" outlineLevel="0" collapsed="false">
      <c r="A193" s="17" t="s">
        <v>6</v>
      </c>
      <c r="B193" s="83" t="n">
        <f aca="false">B186/$B179</f>
        <v>5.69426850258171</v>
      </c>
      <c r="C193" s="84" t="n">
        <f aca="false">C186/$B179</f>
        <v>6.02063683304643</v>
      </c>
      <c r="D193" s="84" t="n">
        <f aca="false">D186/$B179</f>
        <v>6.05499139414798</v>
      </c>
      <c r="E193" s="85" t="n">
        <f aca="false">E186/$B179</f>
        <v>6.05499139414798</v>
      </c>
      <c r="F193" s="86" t="n">
        <f aca="false">F186/$B179</f>
        <v>6.05499139414798</v>
      </c>
      <c r="G193" s="87" t="n">
        <f aca="false">G186/$B179</f>
        <v>6.05499139414798</v>
      </c>
      <c r="H193" s="87" t="n">
        <f aca="false">H186/$B179</f>
        <v>6.05499139414798</v>
      </c>
      <c r="I193" s="87" t="n">
        <f aca="false">I186/$B179</f>
        <v>6.05499139414798</v>
      </c>
      <c r="J193" s="87" t="n">
        <f aca="false">J186/$B179</f>
        <v>6.05499139414798</v>
      </c>
      <c r="K193" s="87" t="n">
        <f aca="false">K186/$B179</f>
        <v>6.05499139414798</v>
      </c>
      <c r="L193" s="87" t="n">
        <f aca="false">L186/$B179</f>
        <v>6.05499139414798</v>
      </c>
      <c r="M193" s="87" t="n">
        <f aca="false">M186/$B179</f>
        <v>6.05499139414798</v>
      </c>
      <c r="N193" s="85" t="n">
        <f aca="false">N186/$B179</f>
        <v>6.05499139414798</v>
      </c>
      <c r="O193" s="82" t="n">
        <f aca="false">E193</f>
        <v>6.05499139414798</v>
      </c>
      <c r="P193" s="82" t="n">
        <f aca="false">N193</f>
        <v>6.05499139414798</v>
      </c>
    </row>
    <row r="194" customFormat="false" ht="13.8" hidden="false" customHeight="false" outlineLevel="0" collapsed="false">
      <c r="A194" s="17" t="s">
        <v>7</v>
      </c>
      <c r="B194" s="83" t="n">
        <f aca="false">B187/$B180</f>
        <v>5.71599418040727</v>
      </c>
      <c r="C194" s="84" t="n">
        <f aca="false">C187/$B180</f>
        <v>5.87813288069825</v>
      </c>
      <c r="D194" s="87" t="n">
        <f aca="false">D187/$B180</f>
        <v>5.90233268671183</v>
      </c>
      <c r="E194" s="85" t="n">
        <f aca="false">E187/$B180</f>
        <v>5.90233268671183</v>
      </c>
      <c r="F194" s="86" t="n">
        <f aca="false">F187/$B180</f>
        <v>5.90233268671183</v>
      </c>
      <c r="G194" s="87" t="n">
        <f aca="false">G187/$B180</f>
        <v>5.90233268671183</v>
      </c>
      <c r="H194" s="87" t="n">
        <f aca="false">H187/$B180</f>
        <v>5.90233268671183</v>
      </c>
      <c r="I194" s="87" t="n">
        <f aca="false">I187/$B180</f>
        <v>5.90233268671183</v>
      </c>
      <c r="J194" s="87" t="n">
        <f aca="false">J187/$B180</f>
        <v>5.90233268671183</v>
      </c>
      <c r="K194" s="87" t="n">
        <f aca="false">K187/$B180</f>
        <v>5.90233268671183</v>
      </c>
      <c r="L194" s="87" t="n">
        <f aca="false">L187/$B180</f>
        <v>5.90233268671183</v>
      </c>
      <c r="M194" s="87" t="n">
        <f aca="false">M187/$B180</f>
        <v>5.90233268671183</v>
      </c>
      <c r="N194" s="85" t="n">
        <f aca="false">N187/$B180</f>
        <v>5.90233268671183</v>
      </c>
      <c r="O194" s="82" t="n">
        <f aca="false">E194</f>
        <v>5.90233268671183</v>
      </c>
      <c r="P194" s="82" t="n">
        <f aca="false">N194</f>
        <v>5.90233268671183</v>
      </c>
    </row>
    <row r="195" customFormat="false" ht="13.8" hidden="false" customHeight="false" outlineLevel="0" collapsed="false">
      <c r="A195" s="25" t="s">
        <v>8</v>
      </c>
      <c r="B195" s="88" t="n">
        <f aca="false">B188/$B181</f>
        <v>5.80631444939541</v>
      </c>
      <c r="C195" s="89" t="n">
        <f aca="false">C188/$B181</f>
        <v>5.92542647994919</v>
      </c>
      <c r="D195" s="89" t="n">
        <f aca="false">D188/$B181</f>
        <v>5.95718968809687</v>
      </c>
      <c r="E195" s="90" t="n">
        <f aca="false">E188/$B181</f>
        <v>5.95718968809687</v>
      </c>
      <c r="F195" s="91" t="n">
        <f aca="false">F188/$B181</f>
        <v>5.95718968809687</v>
      </c>
      <c r="G195" s="89" t="n">
        <f aca="false">G188/$B181</f>
        <v>5.95718968809687</v>
      </c>
      <c r="H195" s="89" t="n">
        <f aca="false">H188/$B181</f>
        <v>5.95718968809687</v>
      </c>
      <c r="I195" s="89" t="n">
        <f aca="false">I188/$B181</f>
        <v>5.95718968809687</v>
      </c>
      <c r="J195" s="89" t="n">
        <f aca="false">J188/$B181</f>
        <v>5.95718968809687</v>
      </c>
      <c r="K195" s="89" t="n">
        <f aca="false">K188/$B181</f>
        <v>5.95718968809687</v>
      </c>
      <c r="L195" s="89" t="n">
        <f aca="false">L188/$B181</f>
        <v>5.95718968809687</v>
      </c>
      <c r="M195" s="89" t="n">
        <f aca="false">M188/$B181</f>
        <v>5.95718968809687</v>
      </c>
      <c r="N195" s="90" t="n">
        <f aca="false">N188/$B181</f>
        <v>5.95718968809687</v>
      </c>
      <c r="O195" s="82" t="n">
        <f aca="false">E195</f>
        <v>5.95718968809687</v>
      </c>
      <c r="P195" s="82" t="n">
        <f aca="false">N195</f>
        <v>5.95718968809687</v>
      </c>
    </row>
    <row r="196" customFormat="false" ht="13.8" hidden="false" customHeight="false" outlineLevel="0" collapsed="false">
      <c r="A196" s="32"/>
      <c r="N196" s="92" t="s">
        <v>23</v>
      </c>
      <c r="O196" s="93" t="n">
        <f aca="false">SUMPRODUCT(O192:O195,$B178:$B181)/SUM($B178:$B181)</f>
        <v>5.94369202838754</v>
      </c>
      <c r="P196" s="93" t="n">
        <f aca="false">SUMPRODUCT(P192:P195,$B178:$B181)/SUM($B178:$B181)</f>
        <v>5.94369202838754</v>
      </c>
    </row>
    <row r="197" customFormat="false" ht="15" hidden="false" customHeight="false" outlineLevel="0" collapsed="false">
      <c r="A197" s="31" t="s">
        <v>26</v>
      </c>
      <c r="B197" s="3"/>
      <c r="C197" s="3"/>
      <c r="D197" s="3"/>
      <c r="O197" s="82"/>
      <c r="P197" s="82"/>
    </row>
    <row r="198" customFormat="false" ht="13.8" hidden="false" customHeight="false" outlineLevel="0" collapsed="false">
      <c r="A198" s="32" t="s">
        <v>25</v>
      </c>
      <c r="O198" s="82"/>
      <c r="P198" s="82"/>
    </row>
    <row r="200" customFormat="false" ht="13.8" hidden="false" customHeight="false" outlineLevel="0" collapsed="false">
      <c r="A200" s="33" t="s">
        <v>15</v>
      </c>
      <c r="B200" s="34"/>
      <c r="F200" s="33"/>
    </row>
    <row r="201" customFormat="false" ht="13.8" hidden="false" customHeight="false" outlineLevel="0" collapsed="false">
      <c r="A201" s="1" t="s">
        <v>16</v>
      </c>
      <c r="B201" s="35" t="n">
        <v>0.91</v>
      </c>
      <c r="F201" s="33"/>
    </row>
    <row r="202" customFormat="false" ht="13.8" hidden="false" customHeight="false" outlineLevel="0" collapsed="false">
      <c r="A202" s="1" t="s">
        <v>17</v>
      </c>
      <c r="B202" s="35" t="n">
        <v>1.19</v>
      </c>
      <c r="F202" s="33"/>
    </row>
    <row r="203" customFormat="false" ht="13.8" hidden="false" customHeight="false" outlineLevel="0" collapsed="false">
      <c r="B203" s="35"/>
      <c r="F203" s="33"/>
    </row>
    <row r="204" customFormat="false" ht="13.8" hidden="false" customHeight="false" outlineLevel="0" collapsed="false">
      <c r="A204" s="36" t="s">
        <v>2</v>
      </c>
      <c r="B204" s="37" t="n">
        <f aca="false">AVERAGE(B206:B209)</f>
        <v>1</v>
      </c>
      <c r="C204" s="37" t="n">
        <f aca="false">AVERAGE(C206:C208)</f>
        <v>0.333813581961003</v>
      </c>
      <c r="D204" s="37" t="n">
        <f aca="false">AVERAGE(D206:D207)</f>
        <v>0.247842052902622</v>
      </c>
      <c r="E204" s="37" t="n">
        <f aca="false">AVERAGE(E206)</f>
        <v>0.19140625</v>
      </c>
      <c r="F204" s="38" t="n">
        <f aca="false">$B201*F205^(-$B202)</f>
        <v>0.174819551871511</v>
      </c>
      <c r="G204" s="38" t="n">
        <f aca="false">$B201*G205^(-$B202)</f>
        <v>0.134050082981312</v>
      </c>
      <c r="H204" s="38" t="n">
        <f aca="false">$B201*H205^(-$B202)</f>
        <v>0.107904959075535</v>
      </c>
      <c r="I204" s="38" t="n">
        <f aca="false">$B201*I205^(-$B202)</f>
        <v>0.0898203462096549</v>
      </c>
      <c r="J204" s="38" t="n">
        <f aca="false">$B201*J205^(-$B202)</f>
        <v>0.0766239096842361</v>
      </c>
      <c r="K204" s="38" t="n">
        <f aca="false">$B201*K205^(-$B202)</f>
        <v>0.0666028488715642</v>
      </c>
      <c r="L204" s="38" t="n">
        <f aca="false">$B201*L205^(-$B202)</f>
        <v>0.0587545348421537</v>
      </c>
      <c r="M204" s="38" t="n">
        <f aca="false">$B201*M205^(-$B202)</f>
        <v>0.0524546624897422</v>
      </c>
      <c r="N204" s="38" t="n">
        <f aca="false">$B201*N205^(-$B202)</f>
        <v>0.0472950522419932</v>
      </c>
    </row>
    <row r="205" customFormat="false" ht="13.8" hidden="false" customHeight="false" outlineLevel="0" collapsed="false">
      <c r="A205" s="6" t="s">
        <v>3</v>
      </c>
      <c r="B205" s="7" t="n">
        <v>0</v>
      </c>
      <c r="C205" s="7" t="n">
        <v>1</v>
      </c>
      <c r="D205" s="7" t="n">
        <v>2</v>
      </c>
      <c r="E205" s="8" t="n">
        <v>3</v>
      </c>
      <c r="F205" s="39" t="n">
        <v>4</v>
      </c>
      <c r="G205" s="40" t="n">
        <v>5</v>
      </c>
      <c r="H205" s="40" t="n">
        <v>6</v>
      </c>
      <c r="I205" s="40" t="n">
        <v>7</v>
      </c>
      <c r="J205" s="40" t="n">
        <v>8</v>
      </c>
      <c r="K205" s="40" t="n">
        <v>9</v>
      </c>
      <c r="L205" s="40" t="n">
        <v>10</v>
      </c>
      <c r="M205" s="40" t="n">
        <v>11</v>
      </c>
      <c r="N205" s="41" t="n">
        <v>12</v>
      </c>
    </row>
    <row r="206" customFormat="false" ht="13.8" hidden="false" customHeight="false" outlineLevel="0" collapsed="false">
      <c r="A206" s="9" t="s">
        <v>5</v>
      </c>
      <c r="B206" s="14" t="n">
        <f aca="false">B213/$B213</f>
        <v>1</v>
      </c>
      <c r="C206" s="15" t="n">
        <f aca="false">C213/$B213</f>
        <v>0.35546875</v>
      </c>
      <c r="D206" s="15" t="n">
        <f aca="false">D213/$B213</f>
        <v>0.251302083333333</v>
      </c>
      <c r="E206" s="16" t="n">
        <f aca="false">E213/$B213</f>
        <v>0.19140625</v>
      </c>
      <c r="F206" s="42" t="n">
        <f aca="false">IF(E$204 = 0, 0, E206*(F$204/E$204))</f>
        <v>0.174819551871511</v>
      </c>
      <c r="G206" s="43" t="n">
        <f aca="false">IF(F$204 = 0, 0, F206*(G$204/F$204))</f>
        <v>0.134050082981312</v>
      </c>
      <c r="H206" s="43" t="n">
        <f aca="false">IF(G$204 = 0, 0, G206*(H$204/G$204))</f>
        <v>0.107904959075535</v>
      </c>
      <c r="I206" s="43" t="n">
        <f aca="false">IF(H$204 = 0, 0, H206*(I$204/H$204))</f>
        <v>0.0898203462096549</v>
      </c>
      <c r="J206" s="43" t="n">
        <f aca="false">IF(I$204 = 0, 0, I206*(J$204/I$204))</f>
        <v>0.0766239096842361</v>
      </c>
      <c r="K206" s="43" t="n">
        <f aca="false">IF(J$204 = 0, 0, J206*(K$204/J$204))</f>
        <v>0.0666028488715642</v>
      </c>
      <c r="L206" s="43" t="n">
        <f aca="false">IF(K$204 = 0, 0, K206*(L$204/K$204))</f>
        <v>0.0587545348421537</v>
      </c>
      <c r="M206" s="43" t="n">
        <f aca="false">IF(L$204 = 0, 0, L206*(M$204/L$204))</f>
        <v>0.0524546624897422</v>
      </c>
      <c r="N206" s="44" t="n">
        <f aca="false">IF(M$204 = 0, 0, M206*(N$204/M$204))</f>
        <v>0.0472950522419932</v>
      </c>
    </row>
    <row r="207" customFormat="false" ht="13.8" hidden="false" customHeight="false" outlineLevel="0" collapsed="false">
      <c r="A207" s="17" t="s">
        <v>6</v>
      </c>
      <c r="B207" s="22" t="n">
        <f aca="false">B214/$B214</f>
        <v>1</v>
      </c>
      <c r="C207" s="23" t="n">
        <f aca="false">C214/$B214</f>
        <v>0.333567415730337</v>
      </c>
      <c r="D207" s="23" t="n">
        <f aca="false">D214/$B214</f>
        <v>0.24438202247191</v>
      </c>
      <c r="E207" s="45" t="n">
        <f aca="false">IF(D$204 = 0, 0, D207*(E$204/D$204))</f>
        <v>0.188734098757416</v>
      </c>
      <c r="F207" s="46" t="n">
        <f aca="false">IF(E$204 = 0, 0, E207*(F$204/E$204))</f>
        <v>0.172378961333002</v>
      </c>
      <c r="G207" s="47" t="n">
        <f aca="false">IF(F$204 = 0, 0, F207*(G$204/F$204))</f>
        <v>0.132178659786891</v>
      </c>
      <c r="H207" s="47" t="n">
        <f aca="false">IF(G$204 = 0, 0, G207*(H$204/G$204))</f>
        <v>0.106398538201218</v>
      </c>
      <c r="I207" s="47" t="n">
        <f aca="false">IF(H$204 = 0, 0, H207*(I$204/H$204))</f>
        <v>0.0885663978681902</v>
      </c>
      <c r="J207" s="47" t="n">
        <f aca="false">IF(I$204 = 0, 0, I207*(J$204/I$204))</f>
        <v>0.0755541918695127</v>
      </c>
      <c r="K207" s="47" t="n">
        <f aca="false">IF(J$204 = 0, 0, J207*(K$204/J$204))</f>
        <v>0.065673031347989</v>
      </c>
      <c r="L207" s="47" t="n">
        <f aca="false">IF(K$204 = 0, 0, K207*(L$204/K$204))</f>
        <v>0.0579342847025374</v>
      </c>
      <c r="M207" s="47" t="n">
        <f aca="false">IF(L$204 = 0, 0, L207*(M$204/L$204))</f>
        <v>0.0517223625175558</v>
      </c>
      <c r="N207" s="45" t="n">
        <f aca="false">IF(M$204 = 0, 0, M207*(N$204/M$204))</f>
        <v>0.0466347836634252</v>
      </c>
    </row>
    <row r="208" customFormat="false" ht="13.8" hidden="false" customHeight="false" outlineLevel="0" collapsed="false">
      <c r="A208" s="17" t="s">
        <v>7</v>
      </c>
      <c r="B208" s="22" t="n">
        <f aca="false">B215/$B215</f>
        <v>1</v>
      </c>
      <c r="C208" s="23" t="n">
        <f aca="false">C215/$B215</f>
        <v>0.312404580152672</v>
      </c>
      <c r="D208" s="47" t="n">
        <f aca="false">IF(C$204 = 0, 0, C208*(D$204/C$204))</f>
        <v>0.231946801044977</v>
      </c>
      <c r="E208" s="45" t="n">
        <f aca="false">IF(D$204 = 0, 0, D208*(E$204/D$204))</f>
        <v>0.179130485999317</v>
      </c>
      <c r="F208" s="46" t="n">
        <f aca="false">IF(E$204 = 0, 0, E208*(F$204/E$204))</f>
        <v>0.163607569182964</v>
      </c>
      <c r="G208" s="47" t="n">
        <f aca="false">IF(F$204 = 0, 0, F208*(G$204/F$204))</f>
        <v>0.125452834025489</v>
      </c>
      <c r="H208" s="47" t="n">
        <f aca="false">IF(G$204 = 0, 0, G208*(H$204/G$204))</f>
        <v>0.10098451728163</v>
      </c>
      <c r="I208" s="47" t="n">
        <f aca="false">IF(H$204 = 0, 0, H208*(I$204/H$204))</f>
        <v>0.0840597538960322</v>
      </c>
      <c r="J208" s="47" t="n">
        <f aca="false">IF(I$204 = 0, 0, I208*(J$204/I$204))</f>
        <v>0.0717096655981976</v>
      </c>
      <c r="K208" s="47" t="n">
        <f aca="false">IF(J$204 = 0, 0, J208*(K$204/J$204))</f>
        <v>0.0623313015499878</v>
      </c>
      <c r="L208" s="47" t="n">
        <f aca="false">IF(K$204 = 0, 0, K208*(L$204/K$204))</f>
        <v>0.0549863360310272</v>
      </c>
      <c r="M208" s="47" t="n">
        <f aca="false">IF(L$204 = 0, 0, L208*(M$204/L$204))</f>
        <v>0.0490905034956678</v>
      </c>
      <c r="N208" s="45" t="n">
        <f aca="false">IF(M$204 = 0, 0, M208*(N$204/M$204))</f>
        <v>0.0442618028067074</v>
      </c>
    </row>
    <row r="209" customFormat="false" ht="13.8" hidden="false" customHeight="false" outlineLevel="0" collapsed="false">
      <c r="A209" s="25" t="s">
        <v>8</v>
      </c>
      <c r="B209" s="30" t="n">
        <f aca="false">B216/$B216</f>
        <v>1</v>
      </c>
      <c r="C209" s="48" t="n">
        <f aca="false">IF(B$204 = 0, 0, B209*(C$204/B$204))</f>
        <v>0.333813581961003</v>
      </c>
      <c r="D209" s="48" t="n">
        <f aca="false">IF(C$204 = 0, 0, C209*(D$204/C$204))</f>
        <v>0.247842052902622</v>
      </c>
      <c r="E209" s="49" t="n">
        <f aca="false">IF(D$204 = 0, 0, D209*(E$204/D$204))</f>
        <v>0.19140625</v>
      </c>
      <c r="F209" s="50" t="n">
        <f aca="false">IF(E$204 = 0, 0, E209*(F$204/E$204))</f>
        <v>0.174819551871511</v>
      </c>
      <c r="G209" s="48" t="n">
        <f aca="false">IF(F$204 = 0, 0, F209*(G$204/F$204))</f>
        <v>0.134050082981312</v>
      </c>
      <c r="H209" s="48" t="n">
        <f aca="false">IF(G$204 = 0, 0, G209*(H$204/G$204))</f>
        <v>0.107904959075535</v>
      </c>
      <c r="I209" s="48" t="n">
        <f aca="false">IF(H$204 = 0, 0, H209*(I$204/H$204))</f>
        <v>0.0898203462096549</v>
      </c>
      <c r="J209" s="48" t="n">
        <f aca="false">IF(I$204 = 0, 0, I209*(J$204/I$204))</f>
        <v>0.0766239096842361</v>
      </c>
      <c r="K209" s="48" t="n">
        <f aca="false">IF(J$204 = 0, 0, J209*(K$204/J$204))</f>
        <v>0.0666028488715642</v>
      </c>
      <c r="L209" s="48" t="n">
        <f aca="false">IF(K$204 = 0, 0, K209*(L$204/K$204))</f>
        <v>0.0587545348421537</v>
      </c>
      <c r="M209" s="48" t="n">
        <f aca="false">IF(L$204 = 0, 0, L209*(M$204/L$204))</f>
        <v>0.0524546624897422</v>
      </c>
      <c r="N209" s="49" t="n">
        <f aca="false">IF(M$204 = 0, 0, M209*(N$204/M$204))</f>
        <v>0.0472950522419932</v>
      </c>
    </row>
    <row r="211" customFormat="false" ht="13.8" hidden="false" customHeight="false" outlineLevel="0" collapsed="false">
      <c r="A211" s="36" t="s">
        <v>1</v>
      </c>
      <c r="B211" s="34"/>
    </row>
    <row r="212" customFormat="false" ht="13.8" hidden="false" customHeight="false" outlineLevel="0" collapsed="false">
      <c r="A212" s="6" t="s">
        <v>3</v>
      </c>
      <c r="B212" s="7" t="n">
        <v>0</v>
      </c>
      <c r="C212" s="7" t="n">
        <v>1</v>
      </c>
      <c r="D212" s="7" t="n">
        <v>2</v>
      </c>
      <c r="E212" s="8" t="n">
        <v>3</v>
      </c>
      <c r="F212" s="39" t="n">
        <v>4</v>
      </c>
      <c r="G212" s="40" t="n">
        <v>5</v>
      </c>
      <c r="H212" s="40" t="n">
        <v>6</v>
      </c>
      <c r="I212" s="40" t="n">
        <v>7</v>
      </c>
      <c r="J212" s="40" t="n">
        <v>8</v>
      </c>
      <c r="K212" s="40" t="n">
        <v>9</v>
      </c>
      <c r="L212" s="40" t="n">
        <v>10</v>
      </c>
      <c r="M212" s="40" t="n">
        <v>11</v>
      </c>
      <c r="N212" s="41" t="n">
        <v>12</v>
      </c>
    </row>
    <row r="213" customFormat="false" ht="13.8" hidden="false" customHeight="false" outlineLevel="0" collapsed="false">
      <c r="A213" s="9" t="s">
        <v>5</v>
      </c>
      <c r="B213" s="10" t="n">
        <v>768</v>
      </c>
      <c r="C213" s="11" t="n">
        <v>273</v>
      </c>
      <c r="D213" s="11" t="n">
        <v>193</v>
      </c>
      <c r="E213" s="12" t="n">
        <v>147</v>
      </c>
      <c r="F213" s="51" t="n">
        <f aca="false">ROUND($B213*F206,0)</f>
        <v>134</v>
      </c>
      <c r="G213" s="52" t="n">
        <f aca="false">ROUND($B213*G206,0)</f>
        <v>103</v>
      </c>
      <c r="H213" s="52" t="n">
        <f aca="false">ROUND($B213*H206,0)</f>
        <v>83</v>
      </c>
      <c r="I213" s="52" t="n">
        <f aca="false">ROUND($B213*I206,0)</f>
        <v>69</v>
      </c>
      <c r="J213" s="52" t="n">
        <f aca="false">ROUND($B213*J206,0)</f>
        <v>59</v>
      </c>
      <c r="K213" s="52" t="n">
        <f aca="false">ROUND($B213*K206,0)</f>
        <v>51</v>
      </c>
      <c r="L213" s="52" t="n">
        <f aca="false">ROUND($B213*L206,0)</f>
        <v>45</v>
      </c>
      <c r="M213" s="52" t="n">
        <f aca="false">ROUND($B213*M206,0)</f>
        <v>40</v>
      </c>
      <c r="N213" s="53" t="n">
        <f aca="false">ROUND($B213*N206,0)</f>
        <v>36</v>
      </c>
    </row>
    <row r="214" customFormat="false" ht="13.8" hidden="false" customHeight="false" outlineLevel="0" collapsed="false">
      <c r="A214" s="17" t="s">
        <v>6</v>
      </c>
      <c r="B214" s="18" t="n">
        <v>1424</v>
      </c>
      <c r="C214" s="19" t="n">
        <v>475</v>
      </c>
      <c r="D214" s="19" t="n">
        <v>348</v>
      </c>
      <c r="E214" s="54" t="n">
        <f aca="false">ROUND($B214*E207,0)</f>
        <v>269</v>
      </c>
      <c r="F214" s="55" t="n">
        <f aca="false">ROUND($B214*F207,0)</f>
        <v>245</v>
      </c>
      <c r="G214" s="56" t="n">
        <f aca="false">ROUND($B214*G207,0)</f>
        <v>188</v>
      </c>
      <c r="H214" s="56" t="n">
        <f aca="false">ROUND($B214*H207,0)</f>
        <v>152</v>
      </c>
      <c r="I214" s="56" t="n">
        <f aca="false">ROUND($B214*I207,0)</f>
        <v>126</v>
      </c>
      <c r="J214" s="56" t="n">
        <f aca="false">ROUND($B214*J207,0)</f>
        <v>108</v>
      </c>
      <c r="K214" s="56" t="n">
        <f aca="false">ROUND($B214*K207,0)</f>
        <v>94</v>
      </c>
      <c r="L214" s="56" t="n">
        <f aca="false">ROUND($B214*L207,0)</f>
        <v>82</v>
      </c>
      <c r="M214" s="56" t="n">
        <f aca="false">ROUND($B214*M207,0)</f>
        <v>74</v>
      </c>
      <c r="N214" s="54" t="n">
        <f aca="false">ROUND($B214*N207,0)</f>
        <v>66</v>
      </c>
    </row>
    <row r="215" customFormat="false" ht="13.8" hidden="false" customHeight="false" outlineLevel="0" collapsed="false">
      <c r="A215" s="17" t="s">
        <v>7</v>
      </c>
      <c r="B215" s="18" t="n">
        <v>5240</v>
      </c>
      <c r="C215" s="19" t="n">
        <v>1637</v>
      </c>
      <c r="D215" s="56" t="n">
        <f aca="false">ROUND($B215*D208,0)</f>
        <v>1215</v>
      </c>
      <c r="E215" s="54" t="n">
        <f aca="false">ROUND($B215*E208,0)</f>
        <v>939</v>
      </c>
      <c r="F215" s="55" t="n">
        <f aca="false">ROUND($B215*F208,0)</f>
        <v>857</v>
      </c>
      <c r="G215" s="56" t="n">
        <f aca="false">ROUND($B215*G208,0)</f>
        <v>657</v>
      </c>
      <c r="H215" s="56" t="n">
        <f aca="false">ROUND($B215*H208,0)</f>
        <v>529</v>
      </c>
      <c r="I215" s="56" t="n">
        <f aca="false">ROUND($B215*I208,0)</f>
        <v>440</v>
      </c>
      <c r="J215" s="56" t="n">
        <f aca="false">ROUND($B215*J208,0)</f>
        <v>376</v>
      </c>
      <c r="K215" s="56" t="n">
        <f aca="false">ROUND($B215*K208,0)</f>
        <v>327</v>
      </c>
      <c r="L215" s="56" t="n">
        <f aca="false">ROUND($B215*L208,0)</f>
        <v>288</v>
      </c>
      <c r="M215" s="56" t="n">
        <f aca="false">ROUND($B215*M208,0)</f>
        <v>257</v>
      </c>
      <c r="N215" s="54" t="n">
        <f aca="false">ROUND($B215*N208,0)</f>
        <v>232</v>
      </c>
    </row>
    <row r="216" customFormat="false" ht="13.8" hidden="false" customHeight="false" outlineLevel="0" collapsed="false">
      <c r="A216" s="25" t="s">
        <v>8</v>
      </c>
      <c r="B216" s="26" t="n">
        <v>7803</v>
      </c>
      <c r="C216" s="57" t="n">
        <f aca="false">ROUND($B216*C209,0)</f>
        <v>2605</v>
      </c>
      <c r="D216" s="57" t="n">
        <f aca="false">ROUND($B216*D209,0)</f>
        <v>1934</v>
      </c>
      <c r="E216" s="58" t="n">
        <f aca="false">ROUND($B216*E209,0)</f>
        <v>1494</v>
      </c>
      <c r="F216" s="59" t="n">
        <f aca="false">ROUND($B216*F209,0)</f>
        <v>1364</v>
      </c>
      <c r="G216" s="57" t="n">
        <f aca="false">ROUND($B216*G209,0)</f>
        <v>1046</v>
      </c>
      <c r="H216" s="57" t="n">
        <f aca="false">ROUND($B216*H209,0)</f>
        <v>842</v>
      </c>
      <c r="I216" s="57" t="n">
        <f aca="false">ROUND($B216*I209,0)</f>
        <v>701</v>
      </c>
      <c r="J216" s="57" t="n">
        <f aca="false">ROUND($B216*J209,0)</f>
        <v>598</v>
      </c>
      <c r="K216" s="57" t="n">
        <f aca="false">ROUND($B216*K209,0)</f>
        <v>520</v>
      </c>
      <c r="L216" s="57" t="n">
        <f aca="false">ROUND($B216*L209,0)</f>
        <v>458</v>
      </c>
      <c r="M216" s="57" t="n">
        <f aca="false">ROUND($B216*M209,0)</f>
        <v>409</v>
      </c>
      <c r="N216" s="58" t="n">
        <f aca="false">ROUND($B216*N209,0)</f>
        <v>369</v>
      </c>
    </row>
    <row r="218" customFormat="false" ht="13.8" hidden="false" customHeight="false" outlineLevel="0" collapsed="false">
      <c r="A218" s="32" t="s">
        <v>19</v>
      </c>
    </row>
    <row r="219" customFormat="false" ht="13.8" hidden="false" customHeight="false" outlineLevel="0" collapsed="false">
      <c r="A219" s="6" t="s">
        <v>3</v>
      </c>
      <c r="B219" s="7" t="n">
        <v>0</v>
      </c>
      <c r="C219" s="7" t="n">
        <v>1</v>
      </c>
      <c r="D219" s="7" t="n">
        <v>2</v>
      </c>
      <c r="E219" s="8" t="n">
        <v>3</v>
      </c>
      <c r="F219" s="39" t="n">
        <v>4</v>
      </c>
      <c r="G219" s="40" t="n">
        <v>5</v>
      </c>
      <c r="H219" s="40" t="n">
        <v>6</v>
      </c>
      <c r="I219" s="40" t="n">
        <v>7</v>
      </c>
      <c r="J219" s="40" t="n">
        <v>8</v>
      </c>
      <c r="K219" s="40" t="n">
        <v>9</v>
      </c>
      <c r="L219" s="40" t="n">
        <v>10</v>
      </c>
      <c r="M219" s="40" t="n">
        <v>11</v>
      </c>
      <c r="N219" s="41" t="n">
        <v>12</v>
      </c>
    </row>
    <row r="220" customFormat="false" ht="13.8" hidden="false" customHeight="false" outlineLevel="0" collapsed="false">
      <c r="A220" s="9" t="s">
        <v>5</v>
      </c>
      <c r="B220" s="60" t="n">
        <f aca="false">B149+B185</f>
        <v>7657.26</v>
      </c>
      <c r="C220" s="61" t="n">
        <f aca="false">C149+C185</f>
        <v>11869.55</v>
      </c>
      <c r="D220" s="61" t="n">
        <f aca="false">D149+D185</f>
        <v>14938.61</v>
      </c>
      <c r="E220" s="61" t="n">
        <f aca="false">E149+E185</f>
        <v>17305.13</v>
      </c>
      <c r="F220" s="63" t="n">
        <f aca="false">F149+F185</f>
        <v>19328.78</v>
      </c>
      <c r="G220" s="64" t="n">
        <f aca="false">G149+G185</f>
        <v>20887.74</v>
      </c>
      <c r="H220" s="64" t="n">
        <f aca="false">H149+H185</f>
        <v>22146.9</v>
      </c>
      <c r="I220" s="64" t="n">
        <f aca="false">I149+I185</f>
        <v>23196.2</v>
      </c>
      <c r="J220" s="64" t="n">
        <f aca="false">J149+J185</f>
        <v>24095.6</v>
      </c>
      <c r="K220" s="64" t="n">
        <f aca="false">K149+K185</f>
        <v>24875.08</v>
      </c>
      <c r="L220" s="64" t="n">
        <f aca="false">L149+L185</f>
        <v>25564.62</v>
      </c>
      <c r="M220" s="64" t="n">
        <f aca="false">M149+M185</f>
        <v>26179.21</v>
      </c>
      <c r="N220" s="65" t="n">
        <f aca="false">N149+N185</f>
        <v>26733.84</v>
      </c>
    </row>
    <row r="221" customFormat="false" ht="13.8" hidden="false" customHeight="false" outlineLevel="0" collapsed="false">
      <c r="A221" s="17" t="s">
        <v>6</v>
      </c>
      <c r="B221" s="66" t="n">
        <f aca="false">B150+B186</f>
        <v>14670.17</v>
      </c>
      <c r="C221" s="67" t="n">
        <f aca="false">C150+C186</f>
        <v>22159.2199999999</v>
      </c>
      <c r="D221" s="67" t="n">
        <f aca="false">D150+D186</f>
        <v>27879.6099999999</v>
      </c>
      <c r="E221" s="68" t="n">
        <f aca="false">E150+E186</f>
        <v>31926.9099999999</v>
      </c>
      <c r="F221" s="69" t="n">
        <f aca="false">F150+F186</f>
        <v>35659.4199999999</v>
      </c>
      <c r="G221" s="70" t="n">
        <f aca="false">G150+G186</f>
        <v>38522.5099999999</v>
      </c>
      <c r="H221" s="70" t="n">
        <f aca="false">H150+H186</f>
        <v>40830.9699999999</v>
      </c>
      <c r="I221" s="70" t="n">
        <f aca="false">I150+I186</f>
        <v>42749.6899999999</v>
      </c>
      <c r="J221" s="70" t="n">
        <f aca="false">J150+J186</f>
        <v>44398.5899999999</v>
      </c>
      <c r="K221" s="70" t="n">
        <f aca="false">K150+K186</f>
        <v>45837.6299999999</v>
      </c>
      <c r="L221" s="70" t="n">
        <f aca="false">L150+L186</f>
        <v>47096.7899999999</v>
      </c>
      <c r="M221" s="70" t="n">
        <f aca="false">M150+M186</f>
        <v>48221.0399999999</v>
      </c>
      <c r="N221" s="68" t="n">
        <f aca="false">N150+N186</f>
        <v>49240.3599999999</v>
      </c>
    </row>
    <row r="222" customFormat="false" ht="13.8" hidden="false" customHeight="false" outlineLevel="0" collapsed="false">
      <c r="A222" s="17" t="s">
        <v>7</v>
      </c>
      <c r="B222" s="66" t="n">
        <f aca="false">B151+B187</f>
        <v>53510.1599999998</v>
      </c>
      <c r="C222" s="67" t="n">
        <f aca="false">C151+C187</f>
        <v>79228.5800000006</v>
      </c>
      <c r="D222" s="70" t="n">
        <f aca="false">D151+D187</f>
        <v>97401.3900000006</v>
      </c>
      <c r="E222" s="68" t="n">
        <f aca="false">E151+E187</f>
        <v>111491.990000001</v>
      </c>
      <c r="F222" s="69" t="n">
        <f aca="false">F151+F187</f>
        <v>124473.330000001</v>
      </c>
      <c r="G222" s="70" t="n">
        <f aca="false">G151+G187</f>
        <v>134456.670000001</v>
      </c>
      <c r="H222" s="70" t="n">
        <f aca="false">H151+H187</f>
        <v>142506.300000001</v>
      </c>
      <c r="I222" s="70" t="n">
        <f aca="false">I151+I187</f>
        <v>149221.820000001</v>
      </c>
      <c r="J222" s="70" t="n">
        <f aca="false">J151+J187</f>
        <v>154948.000000001</v>
      </c>
      <c r="K222" s="70" t="n">
        <f aca="false">K151+K187</f>
        <v>159939.670000001</v>
      </c>
      <c r="L222" s="70" t="n">
        <f aca="false">L151+L187</f>
        <v>164346.730000001</v>
      </c>
      <c r="M222" s="70" t="n">
        <f aca="false">M151+M187</f>
        <v>168289.100000001</v>
      </c>
      <c r="N222" s="68" t="n">
        <f aca="false">N151+N187</f>
        <v>171841.730000001</v>
      </c>
    </row>
    <row r="223" customFormat="false" ht="13.8" hidden="false" customHeight="false" outlineLevel="0" collapsed="false">
      <c r="A223" s="25" t="s">
        <v>8</v>
      </c>
      <c r="B223" s="71" t="n">
        <f aca="false">B152+B188</f>
        <v>81764.7000000005</v>
      </c>
      <c r="C223" s="72" t="n">
        <f aca="false">C152+C188</f>
        <v>120798.16</v>
      </c>
      <c r="D223" s="72" t="n">
        <f aca="false">D152+D188</f>
        <v>149798.68</v>
      </c>
      <c r="E223" s="73" t="n">
        <f aca="false">E152+E188</f>
        <v>172283.68</v>
      </c>
      <c r="F223" s="74" t="n">
        <f aca="false">F152+F188</f>
        <v>192999.86</v>
      </c>
      <c r="G223" s="72" t="n">
        <f aca="false">G152+G188</f>
        <v>208919.24</v>
      </c>
      <c r="H223" s="72" t="n">
        <f aca="false">H152+H188</f>
        <v>221750.68</v>
      </c>
      <c r="I223" s="72" t="n">
        <f aca="false">I152+I188</f>
        <v>232453.54</v>
      </c>
      <c r="J223" s="72" t="n">
        <f aca="false">J152+J188</f>
        <v>241597.44</v>
      </c>
      <c r="K223" s="72" t="n">
        <f aca="false">K152+K188</f>
        <v>249557.13</v>
      </c>
      <c r="L223" s="72" t="n">
        <f aca="false">L152+L188</f>
        <v>256587.44</v>
      </c>
      <c r="M223" s="72" t="n">
        <f aca="false">M152+M188</f>
        <v>262868.25</v>
      </c>
      <c r="N223" s="73" t="n">
        <f aca="false">N152+N188</f>
        <v>268534.47</v>
      </c>
    </row>
    <row r="225" customFormat="false" ht="13.8" hidden="false" customHeight="false" outlineLevel="0" collapsed="false">
      <c r="A225" s="32" t="s">
        <v>20</v>
      </c>
    </row>
    <row r="226" customFormat="false" ht="13.8" hidden="false" customHeight="false" outlineLevel="0" collapsed="false">
      <c r="A226" s="6" t="s">
        <v>3</v>
      </c>
      <c r="B226" s="7" t="n">
        <v>0</v>
      </c>
      <c r="C226" s="7" t="n">
        <v>1</v>
      </c>
      <c r="D226" s="7" t="n">
        <v>2</v>
      </c>
      <c r="E226" s="8" t="n">
        <v>3</v>
      </c>
      <c r="F226" s="39" t="n">
        <v>4</v>
      </c>
      <c r="G226" s="40" t="n">
        <v>5</v>
      </c>
      <c r="H226" s="40" t="n">
        <v>6</v>
      </c>
      <c r="I226" s="40" t="n">
        <v>7</v>
      </c>
      <c r="J226" s="40" t="n">
        <v>8</v>
      </c>
      <c r="K226" s="40" t="n">
        <v>9</v>
      </c>
      <c r="L226" s="40" t="n">
        <v>10</v>
      </c>
      <c r="M226" s="40" t="n">
        <v>11</v>
      </c>
      <c r="N226" s="41" t="n">
        <v>12</v>
      </c>
      <c r="O226" s="75" t="s">
        <v>21</v>
      </c>
      <c r="P226" s="75" t="s">
        <v>22</v>
      </c>
    </row>
    <row r="227" customFormat="false" ht="13.8" hidden="false" customHeight="false" outlineLevel="0" collapsed="false">
      <c r="A227" s="9" t="s">
        <v>5</v>
      </c>
      <c r="B227" s="76" t="n">
        <f aca="false">B220/$B213</f>
        <v>9.970390625</v>
      </c>
      <c r="C227" s="77" t="n">
        <f aca="false">C220/$B213</f>
        <v>15.4551432291667</v>
      </c>
      <c r="D227" s="77" t="n">
        <f aca="false">D220/$B213</f>
        <v>19.4513151041667</v>
      </c>
      <c r="E227" s="78" t="n">
        <f aca="false">E220/$B213</f>
        <v>22.5327213541667</v>
      </c>
      <c r="F227" s="79" t="n">
        <f aca="false">F220/$B213</f>
        <v>25.1676822916667</v>
      </c>
      <c r="G227" s="80" t="n">
        <f aca="false">G220/$B213</f>
        <v>27.197578125</v>
      </c>
      <c r="H227" s="80" t="n">
        <f aca="false">H220/$B213</f>
        <v>28.837109375</v>
      </c>
      <c r="I227" s="80" t="n">
        <f aca="false">I220/$B213</f>
        <v>30.2033854166667</v>
      </c>
      <c r="J227" s="80" t="n">
        <f aca="false">J220/$B213</f>
        <v>31.3744791666667</v>
      </c>
      <c r="K227" s="80" t="n">
        <f aca="false">K220/$B213</f>
        <v>32.3894270833333</v>
      </c>
      <c r="L227" s="80" t="n">
        <f aca="false">L220/$B213</f>
        <v>33.287265625</v>
      </c>
      <c r="M227" s="80" t="n">
        <f aca="false">M220/$B213</f>
        <v>34.0875130208333</v>
      </c>
      <c r="N227" s="81" t="n">
        <f aca="false">N220/$B213</f>
        <v>34.8096875</v>
      </c>
      <c r="O227" s="82" t="n">
        <f aca="false">E227</f>
        <v>22.5327213541667</v>
      </c>
      <c r="P227" s="82" t="n">
        <f aca="false">N227</f>
        <v>34.8096875</v>
      </c>
    </row>
    <row r="228" customFormat="false" ht="13.8" hidden="false" customHeight="false" outlineLevel="0" collapsed="false">
      <c r="A228" s="17" t="s">
        <v>6</v>
      </c>
      <c r="B228" s="83" t="n">
        <f aca="false">B221/$B214</f>
        <v>10.3020856741573</v>
      </c>
      <c r="C228" s="84" t="n">
        <f aca="false">C221/$B214</f>
        <v>15.5612499999999</v>
      </c>
      <c r="D228" s="84" t="n">
        <f aca="false">D221/$B214</f>
        <v>19.5783778089887</v>
      </c>
      <c r="E228" s="85" t="n">
        <f aca="false">E221/$B214</f>
        <v>22.4205828651685</v>
      </c>
      <c r="F228" s="86" t="n">
        <f aca="false">F221/$B214</f>
        <v>25.0417275280898</v>
      </c>
      <c r="G228" s="87" t="n">
        <f aca="false">G221/$B214</f>
        <v>27.0523244382022</v>
      </c>
      <c r="H228" s="87" t="n">
        <f aca="false">H221/$B214</f>
        <v>28.673433988764</v>
      </c>
      <c r="I228" s="87" t="n">
        <f aca="false">I221/$B214</f>
        <v>30.020849719101</v>
      </c>
      <c r="J228" s="87" t="n">
        <f aca="false">J221/$B214</f>
        <v>31.1787851123595</v>
      </c>
      <c r="K228" s="87" t="n">
        <f aca="false">K221/$B214</f>
        <v>32.1893469101123</v>
      </c>
      <c r="L228" s="87" t="n">
        <f aca="false">L221/$B214</f>
        <v>33.073588483146</v>
      </c>
      <c r="M228" s="87" t="n">
        <f aca="false">M221/$B214</f>
        <v>33.8630898876404</v>
      </c>
      <c r="N228" s="85" t="n">
        <f aca="false">N221/$B214</f>
        <v>34.5789044943819</v>
      </c>
      <c r="O228" s="82" t="n">
        <f aca="false">E228</f>
        <v>22.4205828651685</v>
      </c>
      <c r="P228" s="82" t="n">
        <f aca="false">N228</f>
        <v>34.5789044943819</v>
      </c>
    </row>
    <row r="229" customFormat="false" ht="13.8" hidden="false" customHeight="false" outlineLevel="0" collapsed="false">
      <c r="A229" s="17" t="s">
        <v>7</v>
      </c>
      <c r="B229" s="83" t="n">
        <f aca="false">B222/$B215</f>
        <v>10.2118625954198</v>
      </c>
      <c r="C229" s="84" t="n">
        <f aca="false">C222/$B215</f>
        <v>15.1199580152673</v>
      </c>
      <c r="D229" s="87" t="n">
        <f aca="false">D222/$B215</f>
        <v>18.5880515267177</v>
      </c>
      <c r="E229" s="85" t="n">
        <f aca="false">E222/$B215</f>
        <v>21.2770973282444</v>
      </c>
      <c r="F229" s="86" t="n">
        <f aca="false">F222/$B215</f>
        <v>23.7544522900765</v>
      </c>
      <c r="G229" s="87" t="n">
        <f aca="false">G222/$B215</f>
        <v>25.6596698473284</v>
      </c>
      <c r="H229" s="87" t="n">
        <f aca="false">H222/$B215</f>
        <v>27.1958587786261</v>
      </c>
      <c r="I229" s="87" t="n">
        <f aca="false">I222/$B215</f>
        <v>28.4774465648856</v>
      </c>
      <c r="J229" s="87" t="n">
        <f aca="false">J222/$B215</f>
        <v>29.5702290076337</v>
      </c>
      <c r="K229" s="87" t="n">
        <f aca="false">K222/$B215</f>
        <v>30.5228377862597</v>
      </c>
      <c r="L229" s="87" t="n">
        <f aca="false">L222/$B215</f>
        <v>31.3638797709925</v>
      </c>
      <c r="M229" s="87" t="n">
        <f aca="false">M222/$B215</f>
        <v>32.1162404580154</v>
      </c>
      <c r="N229" s="85" t="n">
        <f aca="false">N222/$B215</f>
        <v>32.7942232824429</v>
      </c>
      <c r="O229" s="82" t="n">
        <f aca="false">E229</f>
        <v>21.2770973282444</v>
      </c>
      <c r="P229" s="82" t="n">
        <f aca="false">N229</f>
        <v>32.7942232824429</v>
      </c>
    </row>
    <row r="230" customFormat="false" ht="13.8" hidden="false" customHeight="false" outlineLevel="0" collapsed="false">
      <c r="A230" s="25" t="s">
        <v>8</v>
      </c>
      <c r="B230" s="88" t="n">
        <f aca="false">B223/$B216</f>
        <v>10.4786236063053</v>
      </c>
      <c r="C230" s="89" t="n">
        <f aca="false">C223/$B216</f>
        <v>15.4809893630655</v>
      </c>
      <c r="D230" s="89" t="n">
        <f aca="false">D223/$B216</f>
        <v>19.1975752915546</v>
      </c>
      <c r="E230" s="90" t="n">
        <f aca="false">E223/$B216</f>
        <v>22.0791592977061</v>
      </c>
      <c r="F230" s="91" t="n">
        <f aca="false">F223/$B216</f>
        <v>24.7340586953736</v>
      </c>
      <c r="G230" s="89" t="n">
        <f aca="false">G223/$B216</f>
        <v>26.7742201717289</v>
      </c>
      <c r="H230" s="89" t="n">
        <f aca="false">H223/$B216</f>
        <v>28.4186441112393</v>
      </c>
      <c r="I230" s="89" t="n">
        <f aca="false">I223/$B216</f>
        <v>29.7902780981674</v>
      </c>
      <c r="J230" s="89" t="n">
        <f aca="false">J223/$B216</f>
        <v>30.962122260669</v>
      </c>
      <c r="K230" s="89" t="n">
        <f aca="false">K223/$B216</f>
        <v>31.9822029988467</v>
      </c>
      <c r="L230" s="89" t="n">
        <f aca="false">L223/$B216</f>
        <v>32.88317826477</v>
      </c>
      <c r="M230" s="89" t="n">
        <f aca="false">M223/$B216</f>
        <v>33.6881007304883</v>
      </c>
      <c r="N230" s="90" t="n">
        <f aca="false">N223/$B216</f>
        <v>34.4142599000385</v>
      </c>
      <c r="O230" s="82" t="n">
        <f aca="false">E230</f>
        <v>22.0791592977061</v>
      </c>
      <c r="P230" s="82" t="n">
        <f aca="false">N230</f>
        <v>34.4142599000385</v>
      </c>
    </row>
    <row r="231" customFormat="false" ht="13.8" hidden="false" customHeight="false" outlineLevel="0" collapsed="false">
      <c r="N231" s="92" t="s">
        <v>23</v>
      </c>
      <c r="O231" s="93" t="n">
        <f aca="false">SUMPRODUCT(O227:O230,$B213:$B216)/SUM($B213:$B216)</f>
        <v>21.8580708893995</v>
      </c>
      <c r="P231" s="93" t="n">
        <f aca="false">SUMPRODUCT(P227:P230,$B213:$B216)/SUM($B213:$B216)</f>
        <v>33.8923793895636</v>
      </c>
    </row>
    <row r="234" customFormat="false" ht="15" hidden="false" customHeight="false" outlineLevel="0" collapsed="false">
      <c r="A234" s="31" t="s">
        <v>27</v>
      </c>
      <c r="B234" s="3"/>
      <c r="C234" s="3"/>
      <c r="D234" s="3"/>
    </row>
    <row r="235" customFormat="false" ht="13.8" hidden="false" customHeight="false" outlineLevel="0" collapsed="false">
      <c r="A235" s="32" t="s">
        <v>14</v>
      </c>
    </row>
    <row r="237" customFormat="false" ht="13.8" hidden="false" customHeight="false" outlineLevel="0" collapsed="false">
      <c r="A237" s="33" t="s">
        <v>15</v>
      </c>
      <c r="B237" s="34"/>
      <c r="F237" s="33"/>
    </row>
    <row r="238" customFormat="false" ht="13.8" hidden="false" customHeight="false" outlineLevel="0" collapsed="false">
      <c r="A238" s="1" t="s">
        <v>16</v>
      </c>
      <c r="B238" s="35" t="n">
        <v>0.9</v>
      </c>
      <c r="F238" s="33"/>
    </row>
    <row r="239" customFormat="false" ht="13.8" hidden="false" customHeight="false" outlineLevel="0" collapsed="false">
      <c r="A239" s="1" t="s">
        <v>17</v>
      </c>
      <c r="B239" s="35" t="n">
        <v>1.25</v>
      </c>
      <c r="F239" s="33"/>
    </row>
    <row r="240" customFormat="false" ht="13.8" hidden="false" customHeight="false" outlineLevel="0" collapsed="false">
      <c r="A240" s="1" t="s">
        <v>18</v>
      </c>
      <c r="B240" s="35" t="n">
        <v>14.99</v>
      </c>
      <c r="F240" s="33"/>
    </row>
    <row r="241" customFormat="false" ht="13.8" hidden="false" customHeight="false" outlineLevel="0" collapsed="false">
      <c r="B241" s="35"/>
      <c r="F241" s="33"/>
    </row>
    <row r="242" customFormat="false" ht="13.8" hidden="false" customHeight="false" outlineLevel="0" collapsed="false">
      <c r="A242" s="36" t="s">
        <v>2</v>
      </c>
      <c r="B242" s="37" t="n">
        <f aca="false">AVERAGE(B244:B247)</f>
        <v>1</v>
      </c>
      <c r="C242" s="37" t="n">
        <f aca="false">AVERAGE(C244:C246)</f>
        <v>0.312363235850249</v>
      </c>
      <c r="D242" s="37" t="n">
        <f aca="false">AVERAGE(D244:D245)</f>
        <v>0.223578865788321</v>
      </c>
      <c r="E242" s="37" t="n">
        <f aca="false">AVERAGE(E244)</f>
        <v>0.176938369781312</v>
      </c>
      <c r="F242" s="38" t="n">
        <f aca="false">$B238*F243^(-$B239)</f>
        <v>0.159099025766973</v>
      </c>
      <c r="G242" s="38" t="n">
        <f aca="false">$B238*G243^(-$B239)</f>
        <v>0.120373254895756</v>
      </c>
      <c r="H242" s="38" t="n">
        <f aca="false">$B238*H243^(-$B239)</f>
        <v>0.0958414656369409</v>
      </c>
      <c r="I242" s="38" t="n">
        <f aca="false">$B238*I243^(-$B239)</f>
        <v>0.079044191093734</v>
      </c>
      <c r="J242" s="38" t="n">
        <f aca="false">$B238*J243^(-$B239)</f>
        <v>0.0668929002189031</v>
      </c>
      <c r="K242" s="38" t="n">
        <f aca="false">$B238*K243^(-$B239)</f>
        <v>0.0577350269189626</v>
      </c>
      <c r="L242" s="38" t="n">
        <f aca="false">$B238*L243^(-$B239)</f>
        <v>0.0506107192671314</v>
      </c>
      <c r="M242" s="38" t="n">
        <f aca="false">$B238*M243^(-$B239)</f>
        <v>0.0449264034635001</v>
      </c>
      <c r="N242" s="38" t="n">
        <f aca="false">$B238*N243^(-$B239)</f>
        <v>0.0402963724433828</v>
      </c>
    </row>
    <row r="243" customFormat="false" ht="13.8" hidden="false" customHeight="false" outlineLevel="0" collapsed="false">
      <c r="A243" s="6" t="s">
        <v>3</v>
      </c>
      <c r="B243" s="7" t="n">
        <v>0</v>
      </c>
      <c r="C243" s="7" t="n">
        <v>1</v>
      </c>
      <c r="D243" s="7" t="n">
        <v>2</v>
      </c>
      <c r="E243" s="8" t="n">
        <v>3</v>
      </c>
      <c r="F243" s="39" t="n">
        <v>4</v>
      </c>
      <c r="G243" s="40" t="n">
        <v>5</v>
      </c>
      <c r="H243" s="40" t="n">
        <v>6</v>
      </c>
      <c r="I243" s="40" t="n">
        <v>7</v>
      </c>
      <c r="J243" s="40" t="n">
        <v>8</v>
      </c>
      <c r="K243" s="40" t="n">
        <v>9</v>
      </c>
      <c r="L243" s="40" t="n">
        <v>10</v>
      </c>
      <c r="M243" s="40" t="n">
        <v>11</v>
      </c>
      <c r="N243" s="41" t="n">
        <v>12</v>
      </c>
    </row>
    <row r="244" customFormat="false" ht="13.8" hidden="false" customHeight="false" outlineLevel="0" collapsed="false">
      <c r="A244" s="9" t="s">
        <v>5</v>
      </c>
      <c r="B244" s="14" t="n">
        <f aca="false">B251/$B251</f>
        <v>1</v>
      </c>
      <c r="C244" s="15" t="n">
        <f aca="false">C251/$B251</f>
        <v>0.340954274353877</v>
      </c>
      <c r="D244" s="15" t="n">
        <f aca="false">D251/$B251</f>
        <v>0.233598409542744</v>
      </c>
      <c r="E244" s="16" t="n">
        <f aca="false">E251/$B251</f>
        <v>0.176938369781312</v>
      </c>
      <c r="F244" s="42" t="n">
        <f aca="false">IF(E$242 = 0, 0, E244*(F$242/E$242))</f>
        <v>0.159099025766973</v>
      </c>
      <c r="G244" s="43" t="n">
        <f aca="false">IF(F$242 = 0, 0, F244*(G$242/F$242))</f>
        <v>0.120373254895756</v>
      </c>
      <c r="H244" s="43" t="n">
        <f aca="false">IF(G$242 = 0, 0, G244*(H$242/G$242))</f>
        <v>0.0958414656369409</v>
      </c>
      <c r="I244" s="43" t="n">
        <f aca="false">IF(H$242 = 0, 0, H244*(I$242/H$242))</f>
        <v>0.079044191093734</v>
      </c>
      <c r="J244" s="43" t="n">
        <f aca="false">IF(I$242 = 0, 0, I244*(J$242/I$242))</f>
        <v>0.0668929002189031</v>
      </c>
      <c r="K244" s="43" t="n">
        <f aca="false">IF(J$242 = 0, 0, J244*(K$242/J$242))</f>
        <v>0.0577350269189626</v>
      </c>
      <c r="L244" s="43" t="n">
        <f aca="false">IF(K$242 = 0, 0, K244*(L$242/K$242))</f>
        <v>0.0506107192671314</v>
      </c>
      <c r="M244" s="43" t="n">
        <f aca="false">IF(L$242 = 0, 0, L244*(M$242/L$242))</f>
        <v>0.0449264034635001</v>
      </c>
      <c r="N244" s="44" t="n">
        <f aca="false">IF(M$242 = 0, 0, M244*(N$242/M$242))</f>
        <v>0.0402963724433828</v>
      </c>
    </row>
    <row r="245" customFormat="false" ht="13.8" hidden="false" customHeight="false" outlineLevel="0" collapsed="false">
      <c r="A245" s="17" t="s">
        <v>6</v>
      </c>
      <c r="B245" s="22" t="n">
        <f aca="false">B252/$B252</f>
        <v>1</v>
      </c>
      <c r="C245" s="23" t="n">
        <f aca="false">C252/$B252</f>
        <v>0.315254237288136</v>
      </c>
      <c r="D245" s="23" t="n">
        <f aca="false">D252/$B252</f>
        <v>0.213559322033898</v>
      </c>
      <c r="E245" s="45" t="n">
        <f aca="false">IF(D$242 = 0, 0, D245*(E$242/D$242))</f>
        <v>0.169008990000226</v>
      </c>
      <c r="F245" s="46" t="n">
        <f aca="false">IF(E$242 = 0, 0, E245*(F$242/E$242))</f>
        <v>0.151969104768682</v>
      </c>
      <c r="G245" s="47" t="n">
        <f aca="false">IF(F$242 = 0, 0, F245*(G$242/F$242))</f>
        <v>0.114978804530165</v>
      </c>
      <c r="H245" s="47" t="n">
        <f aca="false">IF(G$242 = 0, 0, G245*(H$242/G$242))</f>
        <v>0.0915463917038506</v>
      </c>
      <c r="I245" s="47" t="n">
        <f aca="false">IF(H$242 = 0, 0, H245*(I$242/H$242))</f>
        <v>0.075501876267133</v>
      </c>
      <c r="J245" s="47" t="n">
        <f aca="false">IF(I$242 = 0, 0, I245*(J$242/I$242))</f>
        <v>0.0638951377146506</v>
      </c>
      <c r="K245" s="47" t="n">
        <f aca="false">IF(J$242 = 0, 0, J245*(K$242/J$242))</f>
        <v>0.0551476686445674</v>
      </c>
      <c r="L245" s="47" t="n">
        <f aca="false">IF(K$242 = 0, 0, K245*(L$242/K$242))</f>
        <v>0.0483426322797865</v>
      </c>
      <c r="M245" s="47" t="n">
        <f aca="false">IF(L$242 = 0, 0, L245*(M$242/L$242))</f>
        <v>0.0429130554502869</v>
      </c>
      <c r="N245" s="45" t="n">
        <f aca="false">IF(M$242 = 0, 0, M245*(N$242/M$242))</f>
        <v>0.0384905163065902</v>
      </c>
    </row>
    <row r="246" customFormat="false" ht="13.8" hidden="false" customHeight="false" outlineLevel="0" collapsed="false">
      <c r="A246" s="17" t="s">
        <v>7</v>
      </c>
      <c r="B246" s="22" t="n">
        <f aca="false">B253/$B253</f>
        <v>1</v>
      </c>
      <c r="C246" s="23" t="n">
        <f aca="false">C253/$B253</f>
        <v>0.280881195908733</v>
      </c>
      <c r="D246" s="47" t="n">
        <f aca="false">IF(C$242 = 0, 0, C246*(D$242/C$242))</f>
        <v>0.201045103888758</v>
      </c>
      <c r="E246" s="45" t="n">
        <f aca="false">IF(D$242 = 0, 0, D246*(E$242/D$242))</f>
        <v>0.159105346604051</v>
      </c>
      <c r="F246" s="46" t="n">
        <f aca="false">IF(E$242 = 0, 0, E246*(F$242/E$242))</f>
        <v>0.14306397007222</v>
      </c>
      <c r="G246" s="47" t="n">
        <f aca="false">IF(F$242 = 0, 0, F246*(G$242/F$242))</f>
        <v>0.108241239397187</v>
      </c>
      <c r="H246" s="47" t="n">
        <f aca="false">IF(G$242 = 0, 0, G246*(H$242/G$242))</f>
        <v>0.086181926667758</v>
      </c>
      <c r="I246" s="47" t="n">
        <f aca="false">IF(H$242 = 0, 0, H246*(I$242/H$242))</f>
        <v>0.0710775929299517</v>
      </c>
      <c r="J246" s="47" t="n">
        <f aca="false">IF(I$242 = 0, 0, I246*(J$242/I$242))</f>
        <v>0.0601509897928473</v>
      </c>
      <c r="K246" s="47" t="n">
        <f aca="false">IF(J$242 = 0, 0, J246*(K$242/J$242))</f>
        <v>0.0519161077412952</v>
      </c>
      <c r="L246" s="47" t="n">
        <f aca="false">IF(K$242 = 0, 0, K246*(L$242/K$242))</f>
        <v>0.0455098350958568</v>
      </c>
      <c r="M246" s="47" t="n">
        <f aca="false">IF(L$242 = 0, 0, L246*(M$242/L$242))</f>
        <v>0.0403984223634944</v>
      </c>
      <c r="N246" s="45" t="n">
        <f aca="false">IF(M$242 = 0, 0, M246*(N$242/M$242))</f>
        <v>0.0362350365972881</v>
      </c>
    </row>
    <row r="247" customFormat="false" ht="13.8" hidden="false" customHeight="false" outlineLevel="0" collapsed="false">
      <c r="A247" s="25" t="s">
        <v>8</v>
      </c>
      <c r="B247" s="30" t="n">
        <f aca="false">B254/$B254</f>
        <v>1</v>
      </c>
      <c r="C247" s="48" t="n">
        <f aca="false">IF(B$242 = 0, 0, B247*(C$242/B$242))</f>
        <v>0.312363235850249</v>
      </c>
      <c r="D247" s="48" t="n">
        <f aca="false">IF(C$242 = 0, 0, C247*(D$242/C$242))</f>
        <v>0.223578865788321</v>
      </c>
      <c r="E247" s="49" t="n">
        <f aca="false">IF(D$242 = 0, 0, D247*(E$242/D$242))</f>
        <v>0.176938369781312</v>
      </c>
      <c r="F247" s="50" t="n">
        <f aca="false">IF(E$242 = 0, 0, E247*(F$242/E$242))</f>
        <v>0.159099025766973</v>
      </c>
      <c r="G247" s="48" t="n">
        <f aca="false">IF(F$242 = 0, 0, F247*(G$242/F$242))</f>
        <v>0.120373254895756</v>
      </c>
      <c r="H247" s="48" t="n">
        <f aca="false">IF(G$242 = 0, 0, G247*(H$242/G$242))</f>
        <v>0.0958414656369409</v>
      </c>
      <c r="I247" s="48" t="n">
        <f aca="false">IF(H$242 = 0, 0, H247*(I$242/H$242))</f>
        <v>0.079044191093734</v>
      </c>
      <c r="J247" s="48" t="n">
        <f aca="false">IF(I$242 = 0, 0, I247*(J$242/I$242))</f>
        <v>0.0668929002189031</v>
      </c>
      <c r="K247" s="48" t="n">
        <f aca="false">IF(J$242 = 0, 0, J247*(K$242/J$242))</f>
        <v>0.0577350269189626</v>
      </c>
      <c r="L247" s="48" t="n">
        <f aca="false">IF(K$242 = 0, 0, K247*(L$242/K$242))</f>
        <v>0.0506107192671314</v>
      </c>
      <c r="M247" s="48" t="n">
        <f aca="false">IF(L$242 = 0, 0, L247*(M$242/L$242))</f>
        <v>0.0449264034635001</v>
      </c>
      <c r="N247" s="49" t="n">
        <f aca="false">IF(M$242 = 0, 0, M247*(N$242/M$242))</f>
        <v>0.0402963724433828</v>
      </c>
    </row>
    <row r="249" customFormat="false" ht="13.8" hidden="false" customHeight="false" outlineLevel="0" collapsed="false">
      <c r="A249" s="36" t="s">
        <v>1</v>
      </c>
      <c r="B249" s="34"/>
    </row>
    <row r="250" customFormat="false" ht="13.8" hidden="false" customHeight="false" outlineLevel="0" collapsed="false">
      <c r="A250" s="6" t="s">
        <v>3</v>
      </c>
      <c r="B250" s="7" t="n">
        <v>0</v>
      </c>
      <c r="C250" s="7" t="n">
        <v>1</v>
      </c>
      <c r="D250" s="7" t="n">
        <v>2</v>
      </c>
      <c r="E250" s="8" t="n">
        <v>3</v>
      </c>
      <c r="F250" s="39" t="n">
        <v>4</v>
      </c>
      <c r="G250" s="40" t="n">
        <v>5</v>
      </c>
      <c r="H250" s="40" t="n">
        <v>6</v>
      </c>
      <c r="I250" s="40" t="n">
        <v>7</v>
      </c>
      <c r="J250" s="40" t="n">
        <v>8</v>
      </c>
      <c r="K250" s="40" t="n">
        <v>9</v>
      </c>
      <c r="L250" s="40" t="n">
        <v>10</v>
      </c>
      <c r="M250" s="40" t="n">
        <v>11</v>
      </c>
      <c r="N250" s="41" t="n">
        <v>12</v>
      </c>
    </row>
    <row r="251" customFormat="false" ht="13.8" hidden="false" customHeight="false" outlineLevel="0" collapsed="false">
      <c r="A251" s="9" t="s">
        <v>5</v>
      </c>
      <c r="B251" s="10" t="n">
        <v>1006</v>
      </c>
      <c r="C251" s="11" t="n">
        <v>343</v>
      </c>
      <c r="D251" s="11" t="n">
        <v>235</v>
      </c>
      <c r="E251" s="12" t="n">
        <v>178</v>
      </c>
      <c r="F251" s="51" t="n">
        <f aca="false">ROUND($B251*F244,0)</f>
        <v>160</v>
      </c>
      <c r="G251" s="52" t="n">
        <f aca="false">ROUND($B251*G244,0)</f>
        <v>121</v>
      </c>
      <c r="H251" s="52" t="n">
        <f aca="false">ROUND($B251*H244,0)</f>
        <v>96</v>
      </c>
      <c r="I251" s="52" t="n">
        <f aca="false">ROUND($B251*I244,0)</f>
        <v>80</v>
      </c>
      <c r="J251" s="52" t="n">
        <f aca="false">ROUND($B251*J244,0)</f>
        <v>67</v>
      </c>
      <c r="K251" s="52" t="n">
        <f aca="false">ROUND($B251*K244,0)</f>
        <v>58</v>
      </c>
      <c r="L251" s="52" t="n">
        <f aca="false">ROUND($B251*L244,0)</f>
        <v>51</v>
      </c>
      <c r="M251" s="52" t="n">
        <f aca="false">ROUND($B251*M244,0)</f>
        <v>45</v>
      </c>
      <c r="N251" s="53" t="n">
        <f aca="false">ROUND($B251*N244,0)</f>
        <v>41</v>
      </c>
    </row>
    <row r="252" customFormat="false" ht="13.8" hidden="false" customHeight="false" outlineLevel="0" collapsed="false">
      <c r="A252" s="17" t="s">
        <v>6</v>
      </c>
      <c r="B252" s="18" t="n">
        <v>590</v>
      </c>
      <c r="C252" s="19" t="n">
        <v>186</v>
      </c>
      <c r="D252" s="19" t="n">
        <v>126</v>
      </c>
      <c r="E252" s="54" t="n">
        <f aca="false">ROUND($B252*E245,0)</f>
        <v>100</v>
      </c>
      <c r="F252" s="55" t="n">
        <f aca="false">ROUND($B252*F245,0)</f>
        <v>90</v>
      </c>
      <c r="G252" s="56" t="n">
        <f aca="false">ROUND($B252*G245,0)</f>
        <v>68</v>
      </c>
      <c r="H252" s="56" t="n">
        <f aca="false">ROUND($B252*H245,0)</f>
        <v>54</v>
      </c>
      <c r="I252" s="56" t="n">
        <f aca="false">ROUND($B252*I245,0)</f>
        <v>45</v>
      </c>
      <c r="J252" s="56" t="n">
        <f aca="false">ROUND($B252*J245,0)</f>
        <v>38</v>
      </c>
      <c r="K252" s="56" t="n">
        <f aca="false">ROUND($B252*K245,0)</f>
        <v>33</v>
      </c>
      <c r="L252" s="56" t="n">
        <f aca="false">ROUND($B252*L245,0)</f>
        <v>29</v>
      </c>
      <c r="M252" s="56" t="n">
        <f aca="false">ROUND($B252*M245,0)</f>
        <v>25</v>
      </c>
      <c r="N252" s="54" t="n">
        <f aca="false">ROUND($B252*N245,0)</f>
        <v>23</v>
      </c>
    </row>
    <row r="253" customFormat="false" ht="13.8" hidden="false" customHeight="false" outlineLevel="0" collapsed="false">
      <c r="A253" s="17" t="s">
        <v>7</v>
      </c>
      <c r="B253" s="18" t="n">
        <v>1271</v>
      </c>
      <c r="C253" s="19" t="n">
        <v>357</v>
      </c>
      <c r="D253" s="56" t="n">
        <f aca="false">ROUND($B253*D246,0)</f>
        <v>256</v>
      </c>
      <c r="E253" s="54" t="n">
        <f aca="false">ROUND($B253*E246,0)</f>
        <v>202</v>
      </c>
      <c r="F253" s="55" t="n">
        <f aca="false">ROUND($B253*F246,0)</f>
        <v>182</v>
      </c>
      <c r="G253" s="56" t="n">
        <f aca="false">ROUND($B253*G246,0)</f>
        <v>138</v>
      </c>
      <c r="H253" s="56" t="n">
        <f aca="false">ROUND($B253*H246,0)</f>
        <v>110</v>
      </c>
      <c r="I253" s="56" t="n">
        <f aca="false">ROUND($B253*I246,0)</f>
        <v>90</v>
      </c>
      <c r="J253" s="56" t="n">
        <f aca="false">ROUND($B253*J246,0)</f>
        <v>76</v>
      </c>
      <c r="K253" s="56" t="n">
        <f aca="false">ROUND($B253*K246,0)</f>
        <v>66</v>
      </c>
      <c r="L253" s="56" t="n">
        <f aca="false">ROUND($B253*L246,0)</f>
        <v>58</v>
      </c>
      <c r="M253" s="56" t="n">
        <f aca="false">ROUND($B253*M246,0)</f>
        <v>51</v>
      </c>
      <c r="N253" s="54" t="n">
        <f aca="false">ROUND($B253*N246,0)</f>
        <v>46</v>
      </c>
    </row>
    <row r="254" customFormat="false" ht="13.8" hidden="false" customHeight="false" outlineLevel="0" collapsed="false">
      <c r="A254" s="25" t="s">
        <v>8</v>
      </c>
      <c r="B254" s="26" t="n">
        <v>2718</v>
      </c>
      <c r="C254" s="57" t="n">
        <f aca="false">ROUND($B254*C247,0)</f>
        <v>849</v>
      </c>
      <c r="D254" s="57" t="n">
        <f aca="false">ROUND($B254*D247,0)</f>
        <v>608</v>
      </c>
      <c r="E254" s="58" t="n">
        <f aca="false">ROUND($B254*E247,0)</f>
        <v>481</v>
      </c>
      <c r="F254" s="59" t="n">
        <f aca="false">ROUND($B254*F247,0)</f>
        <v>432</v>
      </c>
      <c r="G254" s="57" t="n">
        <f aca="false">ROUND($B254*G247,0)</f>
        <v>327</v>
      </c>
      <c r="H254" s="57" t="n">
        <f aca="false">ROUND($B254*H247,0)</f>
        <v>260</v>
      </c>
      <c r="I254" s="57" t="n">
        <f aca="false">ROUND($B254*I247,0)</f>
        <v>215</v>
      </c>
      <c r="J254" s="57" t="n">
        <f aca="false">ROUND($B254*J247,0)</f>
        <v>182</v>
      </c>
      <c r="K254" s="57" t="n">
        <f aca="false">ROUND($B254*K247,0)</f>
        <v>157</v>
      </c>
      <c r="L254" s="57" t="n">
        <f aca="false">ROUND($B254*L247,0)</f>
        <v>138</v>
      </c>
      <c r="M254" s="57" t="n">
        <f aca="false">ROUND($B254*M247,0)</f>
        <v>122</v>
      </c>
      <c r="N254" s="58" t="n">
        <f aca="false">ROUND($B254*N247,0)</f>
        <v>110</v>
      </c>
    </row>
    <row r="256" customFormat="false" ht="13.8" hidden="false" customHeight="false" outlineLevel="0" collapsed="false">
      <c r="A256" s="32" t="s">
        <v>19</v>
      </c>
    </row>
    <row r="257" customFormat="false" ht="13.8" hidden="false" customHeight="false" outlineLevel="0" collapsed="false">
      <c r="A257" s="6" t="s">
        <v>3</v>
      </c>
      <c r="B257" s="7" t="n">
        <v>0</v>
      </c>
      <c r="C257" s="7" t="n">
        <v>1</v>
      </c>
      <c r="D257" s="7" t="n">
        <v>2</v>
      </c>
      <c r="E257" s="8" t="n">
        <v>3</v>
      </c>
      <c r="F257" s="39" t="n">
        <v>4</v>
      </c>
      <c r="G257" s="40" t="n">
        <v>5</v>
      </c>
      <c r="H257" s="40" t="n">
        <v>6</v>
      </c>
      <c r="I257" s="40" t="n">
        <v>7</v>
      </c>
      <c r="J257" s="40" t="n">
        <v>8</v>
      </c>
      <c r="K257" s="40" t="n">
        <v>9</v>
      </c>
      <c r="L257" s="40" t="n">
        <v>10</v>
      </c>
      <c r="M257" s="40" t="n">
        <v>11</v>
      </c>
      <c r="N257" s="41" t="n">
        <v>12</v>
      </c>
    </row>
    <row r="258" customFormat="false" ht="13.8" hidden="false" customHeight="false" outlineLevel="0" collapsed="false">
      <c r="A258" s="9" t="s">
        <v>5</v>
      </c>
      <c r="B258" s="60" t="n">
        <v>8037.94</v>
      </c>
      <c r="C258" s="61" t="n">
        <v>13322.62</v>
      </c>
      <c r="D258" s="61" t="n">
        <v>17072.2699999999</v>
      </c>
      <c r="E258" s="61" t="n">
        <v>19942.4699999999</v>
      </c>
      <c r="F258" s="63" t="n">
        <f aca="false">F251*$B$131+E258</f>
        <v>22340.8699999999</v>
      </c>
      <c r="G258" s="64" t="n">
        <f aca="false">G251*$B$131+F258</f>
        <v>24154.6599999999</v>
      </c>
      <c r="H258" s="64" t="n">
        <f aca="false">H251*$B$131+G258</f>
        <v>25593.6999999999</v>
      </c>
      <c r="I258" s="64" t="n">
        <f aca="false">I251*$B$131+H258</f>
        <v>26792.8999999999</v>
      </c>
      <c r="J258" s="64" t="n">
        <f aca="false">J251*$B$131+I258</f>
        <v>27797.2299999999</v>
      </c>
      <c r="K258" s="64" t="n">
        <f aca="false">K251*$B$131+J258</f>
        <v>28666.6499999999</v>
      </c>
      <c r="L258" s="64" t="n">
        <f aca="false">L251*$B$131+K258</f>
        <v>29431.1399999999</v>
      </c>
      <c r="M258" s="64" t="n">
        <f aca="false">M251*$B$131+L258</f>
        <v>30105.6899999999</v>
      </c>
      <c r="N258" s="65" t="n">
        <f aca="false">N251*$B$131+M258</f>
        <v>30720.2799999999</v>
      </c>
    </row>
    <row r="259" customFormat="false" ht="13.8" hidden="false" customHeight="false" outlineLevel="0" collapsed="false">
      <c r="A259" s="17" t="s">
        <v>6</v>
      </c>
      <c r="B259" s="66" t="n">
        <v>4889.99</v>
      </c>
      <c r="C259" s="67" t="n">
        <v>7848.13999999999</v>
      </c>
      <c r="D259" s="67" t="n">
        <v>9894.84999999999</v>
      </c>
      <c r="E259" s="68" t="n">
        <f aca="false">E252*$B$131+D259</f>
        <v>11393.85</v>
      </c>
      <c r="F259" s="69" t="n">
        <f aca="false">F252*$B$131+E259</f>
        <v>12742.95</v>
      </c>
      <c r="G259" s="70" t="n">
        <f aca="false">G252*$B$131+F259</f>
        <v>13762.27</v>
      </c>
      <c r="H259" s="70" t="n">
        <f aca="false">H252*$B$131+G259</f>
        <v>14571.73</v>
      </c>
      <c r="I259" s="70" t="n">
        <f aca="false">I252*$B$131+H259</f>
        <v>15246.28</v>
      </c>
      <c r="J259" s="70" t="n">
        <f aca="false">J252*$B$131+I259</f>
        <v>15815.9</v>
      </c>
      <c r="K259" s="70" t="n">
        <f aca="false">K252*$B$131+J259</f>
        <v>16310.57</v>
      </c>
      <c r="L259" s="70" t="n">
        <f aca="false">L252*$B$131+K259</f>
        <v>16745.28</v>
      </c>
      <c r="M259" s="70" t="n">
        <f aca="false">M252*$B$131+L259</f>
        <v>17120.03</v>
      </c>
      <c r="N259" s="68" t="n">
        <f aca="false">N252*$B$131+M259</f>
        <v>17464.8</v>
      </c>
    </row>
    <row r="260" customFormat="false" ht="13.8" hidden="false" customHeight="false" outlineLevel="0" collapsed="false">
      <c r="A260" s="17" t="s">
        <v>7</v>
      </c>
      <c r="B260" s="66" t="n">
        <v>10155.29</v>
      </c>
      <c r="C260" s="67" t="n">
        <v>15719.8099999999</v>
      </c>
      <c r="D260" s="70" t="n">
        <f aca="false">D253*$B$131+C260</f>
        <v>19557.2499999999</v>
      </c>
      <c r="E260" s="68" t="n">
        <f aca="false">E253*$B$131+D260</f>
        <v>22585.2299999999</v>
      </c>
      <c r="F260" s="69" t="n">
        <f aca="false">F253*$B$131+E260</f>
        <v>25313.4099999999</v>
      </c>
      <c r="G260" s="70" t="n">
        <f aca="false">G253*$B$131+F260</f>
        <v>27382.0299999999</v>
      </c>
      <c r="H260" s="70" t="n">
        <f aca="false">H253*$B$131+G260</f>
        <v>29030.9299999999</v>
      </c>
      <c r="I260" s="70" t="n">
        <f aca="false">I253*$B$131+H260</f>
        <v>30380.0299999999</v>
      </c>
      <c r="J260" s="70" t="n">
        <f aca="false">J253*$B$131+I260</f>
        <v>31519.2699999999</v>
      </c>
      <c r="K260" s="70" t="n">
        <f aca="false">K253*$B$131+J260</f>
        <v>32508.6099999999</v>
      </c>
      <c r="L260" s="70" t="n">
        <f aca="false">L253*$B$131+K260</f>
        <v>33378.03</v>
      </c>
      <c r="M260" s="70" t="n">
        <f aca="false">M253*$B$131+L260</f>
        <v>34142.5199999999</v>
      </c>
      <c r="N260" s="68" t="n">
        <f aca="false">N253*$B$131+M260</f>
        <v>34832.06</v>
      </c>
    </row>
    <row r="261" customFormat="false" ht="13.8" hidden="false" customHeight="false" outlineLevel="0" collapsed="false">
      <c r="A261" s="25" t="s">
        <v>8</v>
      </c>
      <c r="B261" s="71" t="n">
        <v>21812.7600000001</v>
      </c>
      <c r="C261" s="72" t="n">
        <f aca="false">C254*$B$131+B261</f>
        <v>34539.2700000001</v>
      </c>
      <c r="D261" s="72" t="n">
        <f aca="false">D254*$B$131+C261</f>
        <v>43653.1900000001</v>
      </c>
      <c r="E261" s="73" t="n">
        <f aca="false">E254*$B$131+D261</f>
        <v>50863.3800000001</v>
      </c>
      <c r="F261" s="74" t="n">
        <f aca="false">F254*$B$131+E261</f>
        <v>57339.0600000001</v>
      </c>
      <c r="G261" s="72" t="n">
        <f aca="false">G254*$B$131+F261</f>
        <v>62240.7900000001</v>
      </c>
      <c r="H261" s="72" t="n">
        <f aca="false">H254*$B$131+G261</f>
        <v>66138.1900000001</v>
      </c>
      <c r="I261" s="72" t="n">
        <f aca="false">I254*$B$131+H261</f>
        <v>69361.0400000001</v>
      </c>
      <c r="J261" s="72" t="n">
        <f aca="false">J254*$B$131+I261</f>
        <v>72089.2200000001</v>
      </c>
      <c r="K261" s="72" t="n">
        <f aca="false">K254*$B$131+J261</f>
        <v>74442.6500000001</v>
      </c>
      <c r="L261" s="72" t="n">
        <f aca="false">L254*$B$131+K261</f>
        <v>76511.2700000001</v>
      </c>
      <c r="M261" s="72" t="n">
        <f aca="false">M254*$B$131+L261</f>
        <v>78340.0500000001</v>
      </c>
      <c r="N261" s="73" t="n">
        <f aca="false">N254*$B$131+M261</f>
        <v>79988.95</v>
      </c>
    </row>
    <row r="263" customFormat="false" ht="13.8" hidden="false" customHeight="false" outlineLevel="0" collapsed="false">
      <c r="A263" s="32" t="s">
        <v>20</v>
      </c>
    </row>
    <row r="264" customFormat="false" ht="13.8" hidden="false" customHeight="false" outlineLevel="0" collapsed="false">
      <c r="A264" s="6" t="s">
        <v>3</v>
      </c>
      <c r="B264" s="7" t="n">
        <v>0</v>
      </c>
      <c r="C264" s="7" t="n">
        <v>1</v>
      </c>
      <c r="D264" s="7" t="n">
        <v>2</v>
      </c>
      <c r="E264" s="8" t="n">
        <v>3</v>
      </c>
      <c r="F264" s="39" t="n">
        <v>4</v>
      </c>
      <c r="G264" s="40" t="n">
        <v>5</v>
      </c>
      <c r="H264" s="40" t="n">
        <v>6</v>
      </c>
      <c r="I264" s="40" t="n">
        <v>7</v>
      </c>
      <c r="J264" s="40" t="n">
        <v>8</v>
      </c>
      <c r="K264" s="40" t="n">
        <v>9</v>
      </c>
      <c r="L264" s="40" t="n">
        <v>10</v>
      </c>
      <c r="M264" s="40" t="n">
        <v>11</v>
      </c>
      <c r="N264" s="41" t="n">
        <v>12</v>
      </c>
      <c r="O264" s="75" t="s">
        <v>21</v>
      </c>
      <c r="P264" s="75" t="s">
        <v>22</v>
      </c>
    </row>
    <row r="265" customFormat="false" ht="13.8" hidden="false" customHeight="false" outlineLevel="0" collapsed="false">
      <c r="A265" s="9" t="s">
        <v>5</v>
      </c>
      <c r="B265" s="76" t="n">
        <f aca="false">B258/$B251</f>
        <v>7.99</v>
      </c>
      <c r="C265" s="77" t="n">
        <f aca="false">C258/$B251</f>
        <v>13.2431610337972</v>
      </c>
      <c r="D265" s="77" t="n">
        <f aca="false">D258/$B251</f>
        <v>16.9704473161033</v>
      </c>
      <c r="E265" s="78" t="n">
        <f aca="false">E258/$B251</f>
        <v>19.8235288270377</v>
      </c>
      <c r="F265" s="79" t="n">
        <f aca="false">F258/$B251</f>
        <v>22.2076242544731</v>
      </c>
      <c r="G265" s="80" t="n">
        <f aca="false">G258/$B251</f>
        <v>24.0105964214711</v>
      </c>
      <c r="H265" s="80" t="n">
        <f aca="false">H258/$B251</f>
        <v>25.4410536779323</v>
      </c>
      <c r="I265" s="80" t="n">
        <f aca="false">I258/$B251</f>
        <v>26.63310139165</v>
      </c>
      <c r="J265" s="80" t="n">
        <f aca="false">J258/$B251</f>
        <v>27.6314413518886</v>
      </c>
      <c r="K265" s="80" t="n">
        <f aca="false">K258/$B251</f>
        <v>28.4956759443339</v>
      </c>
      <c r="L265" s="80" t="n">
        <f aca="false">L258/$B251</f>
        <v>29.255606361829</v>
      </c>
      <c r="M265" s="80" t="n">
        <f aca="false">M258/$B251</f>
        <v>29.9261332007952</v>
      </c>
      <c r="N265" s="81" t="n">
        <f aca="false">N258/$B251</f>
        <v>30.5370576540755</v>
      </c>
      <c r="O265" s="82" t="n">
        <f aca="false">E265</f>
        <v>19.8235288270377</v>
      </c>
      <c r="P265" s="82" t="n">
        <f aca="false">N265</f>
        <v>30.5370576540755</v>
      </c>
    </row>
    <row r="266" customFormat="false" ht="13.8" hidden="false" customHeight="false" outlineLevel="0" collapsed="false">
      <c r="A266" s="17" t="s">
        <v>6</v>
      </c>
      <c r="B266" s="83" t="n">
        <f aca="false">B259/$B252</f>
        <v>8.28811864406779</v>
      </c>
      <c r="C266" s="84" t="n">
        <f aca="false">C259/$B252</f>
        <v>13.3019322033898</v>
      </c>
      <c r="D266" s="84" t="n">
        <f aca="false">D259/$B252</f>
        <v>16.7709322033898</v>
      </c>
      <c r="E266" s="85" t="n">
        <f aca="false">E259/$B252</f>
        <v>19.3116101694915</v>
      </c>
      <c r="F266" s="86" t="n">
        <f aca="false">F259/$B252</f>
        <v>21.598220338983</v>
      </c>
      <c r="G266" s="87" t="n">
        <f aca="false">G259/$B252</f>
        <v>23.3258813559322</v>
      </c>
      <c r="H266" s="87" t="n">
        <f aca="false">H259/$B252</f>
        <v>24.6978474576271</v>
      </c>
      <c r="I266" s="87" t="n">
        <f aca="false">I259/$B252</f>
        <v>25.8411525423729</v>
      </c>
      <c r="J266" s="87" t="n">
        <f aca="false">J259/$B252</f>
        <v>26.8066101694915</v>
      </c>
      <c r="K266" s="87" t="n">
        <f aca="false">K259/$B252</f>
        <v>27.6450338983051</v>
      </c>
      <c r="L266" s="87" t="n">
        <f aca="false">L259/$B252</f>
        <v>28.3818305084746</v>
      </c>
      <c r="M266" s="87" t="n">
        <f aca="false">M259/$B252</f>
        <v>29.017</v>
      </c>
      <c r="N266" s="85" t="n">
        <f aca="false">N259/$B252</f>
        <v>29.6013559322034</v>
      </c>
      <c r="O266" s="82" t="n">
        <f aca="false">E266</f>
        <v>19.3116101694915</v>
      </c>
      <c r="P266" s="82" t="n">
        <f aca="false">N266</f>
        <v>29.6013559322034</v>
      </c>
    </row>
    <row r="267" customFormat="false" ht="13.8" hidden="false" customHeight="false" outlineLevel="0" collapsed="false">
      <c r="A267" s="17" t="s">
        <v>7</v>
      </c>
      <c r="B267" s="83" t="n">
        <f aca="false">B260/$B253</f>
        <v>7.99</v>
      </c>
      <c r="C267" s="84" t="n">
        <f aca="false">C260/$B253</f>
        <v>12.368064516129</v>
      </c>
      <c r="D267" s="87" t="n">
        <f aca="false">D260/$B253</f>
        <v>15.3872934697088</v>
      </c>
      <c r="E267" s="85" t="n">
        <f aca="false">E260/$B253</f>
        <v>17.769653815893</v>
      </c>
      <c r="F267" s="86" t="n">
        <f aca="false">F260/$B253</f>
        <v>19.9161369000786</v>
      </c>
      <c r="G267" s="87" t="n">
        <f aca="false">G260/$B253</f>
        <v>21.5436900078678</v>
      </c>
      <c r="H267" s="87" t="n">
        <f aca="false">H260/$B253</f>
        <v>22.8410149488591</v>
      </c>
      <c r="I267" s="87" t="n">
        <f aca="false">I260/$B253</f>
        <v>23.902462627852</v>
      </c>
      <c r="J267" s="87" t="n">
        <f aca="false">J260/$B253</f>
        <v>24.7987962234461</v>
      </c>
      <c r="K267" s="87" t="n">
        <f aca="false">K260/$B253</f>
        <v>25.5771911880409</v>
      </c>
      <c r="L267" s="87" t="n">
        <f aca="false">L260/$B253</f>
        <v>26.2612352478363</v>
      </c>
      <c r="M267" s="87" t="n">
        <f aca="false">M260/$B253</f>
        <v>26.8627222659323</v>
      </c>
      <c r="N267" s="85" t="n">
        <f aca="false">N260/$B253</f>
        <v>27.4052399685287</v>
      </c>
      <c r="O267" s="82" t="n">
        <f aca="false">E267</f>
        <v>17.769653815893</v>
      </c>
      <c r="P267" s="82" t="n">
        <f aca="false">N267</f>
        <v>27.4052399685287</v>
      </c>
    </row>
    <row r="268" customFormat="false" ht="13.8" hidden="false" customHeight="false" outlineLevel="0" collapsed="false">
      <c r="A268" s="25" t="s">
        <v>8</v>
      </c>
      <c r="B268" s="88" t="n">
        <f aca="false">B261/$B254</f>
        <v>8.02529801324506</v>
      </c>
      <c r="C268" s="89" t="n">
        <f aca="false">C261/$B254</f>
        <v>12.7076048565122</v>
      </c>
      <c r="D268" s="89" t="n">
        <f aca="false">D261/$B254</f>
        <v>16.0607763061075</v>
      </c>
      <c r="E268" s="90" t="n">
        <f aca="false">E261/$B254</f>
        <v>18.71353200883</v>
      </c>
      <c r="F268" s="91" t="n">
        <f aca="false">F261/$B254</f>
        <v>21.0960485651214</v>
      </c>
      <c r="G268" s="89" t="n">
        <f aca="false">G261/$B254</f>
        <v>22.8994812362031</v>
      </c>
      <c r="H268" s="89" t="n">
        <f aca="false">H261/$B254</f>
        <v>24.3334032376748</v>
      </c>
      <c r="I268" s="89" t="n">
        <f aca="false">I261/$B254</f>
        <v>25.5191464311994</v>
      </c>
      <c r="J268" s="89" t="n">
        <f aca="false">J261/$B254</f>
        <v>26.5228918322296</v>
      </c>
      <c r="K268" s="89" t="n">
        <f aca="false">K261/$B254</f>
        <v>27.3887601177336</v>
      </c>
      <c r="L268" s="89" t="n">
        <f aca="false">L261/$B254</f>
        <v>28.1498417954378</v>
      </c>
      <c r="M268" s="89" t="n">
        <f aca="false">M261/$B254</f>
        <v>28.8226821192053</v>
      </c>
      <c r="N268" s="90" t="n">
        <f aca="false">N261/$B254</f>
        <v>29.4293414275203</v>
      </c>
      <c r="O268" s="82" t="n">
        <f aca="false">E268</f>
        <v>18.71353200883</v>
      </c>
      <c r="P268" s="82" t="n">
        <f aca="false">N268</f>
        <v>29.4293414275203</v>
      </c>
    </row>
    <row r="269" customFormat="false" ht="13.8" hidden="false" customHeight="false" outlineLevel="0" collapsed="false">
      <c r="N269" s="92" t="s">
        <v>23</v>
      </c>
      <c r="O269" s="93" t="n">
        <f aca="false">SUMPRODUCT(O265:O268,$B251:$B254)/SUM($B251:$B254)</f>
        <v>18.7618495971352</v>
      </c>
      <c r="P269" s="93" t="n">
        <f aca="false">SUMPRODUCT(P265:P268,$B251:$B254)/SUM($B251:$B254)</f>
        <v>29.1864082363473</v>
      </c>
    </row>
    <row r="270" customFormat="false" ht="15" hidden="false" customHeight="false" outlineLevel="0" collapsed="false">
      <c r="A270" s="31" t="s">
        <v>27</v>
      </c>
      <c r="B270" s="3"/>
      <c r="C270" s="3"/>
      <c r="D270" s="3"/>
    </row>
    <row r="271" customFormat="false" ht="13.8" hidden="false" customHeight="false" outlineLevel="0" collapsed="false">
      <c r="A271" s="32" t="s">
        <v>24</v>
      </c>
    </row>
    <row r="273" customFormat="false" ht="13.8" hidden="false" customHeight="false" outlineLevel="0" collapsed="false">
      <c r="A273" s="33" t="s">
        <v>15</v>
      </c>
      <c r="B273" s="34"/>
      <c r="F273" s="33"/>
    </row>
    <row r="274" customFormat="false" ht="13.8" hidden="false" customHeight="false" outlineLevel="0" collapsed="false">
      <c r="A274" s="1" t="s">
        <v>16</v>
      </c>
      <c r="B274" s="35" t="n">
        <v>0.77</v>
      </c>
      <c r="F274" s="33"/>
    </row>
    <row r="275" customFormat="false" ht="13.8" hidden="false" customHeight="false" outlineLevel="0" collapsed="false">
      <c r="A275" s="1" t="s">
        <v>17</v>
      </c>
      <c r="B275" s="35" t="n">
        <v>4.75</v>
      </c>
      <c r="F275" s="33"/>
    </row>
    <row r="276" customFormat="false" ht="13.8" hidden="false" customHeight="false" outlineLevel="0" collapsed="false">
      <c r="A276" s="1" t="s">
        <v>18</v>
      </c>
      <c r="B276" s="35" t="n">
        <v>4.99</v>
      </c>
      <c r="F276" s="33"/>
    </row>
    <row r="277" customFormat="false" ht="13.8" hidden="false" customHeight="false" outlineLevel="0" collapsed="false">
      <c r="B277" s="35"/>
      <c r="F277" s="33"/>
    </row>
    <row r="278" customFormat="false" ht="13.8" hidden="false" customHeight="false" outlineLevel="0" collapsed="false">
      <c r="A278" s="36" t="s">
        <v>2</v>
      </c>
      <c r="B278" s="37" t="n">
        <f aca="false">AVERAGE(B280:B283)</f>
        <v>1</v>
      </c>
      <c r="C278" s="37" t="n">
        <f aca="false">AVERAGE(C280:C282)</f>
        <v>0.0141609065649404</v>
      </c>
      <c r="D278" s="37" t="n">
        <f aca="false">AVERAGE(D280:D281)</f>
        <v>0.00646551724137931</v>
      </c>
      <c r="E278" s="37" t="n">
        <f aca="false">AVERAGE(E280)</f>
        <v>0</v>
      </c>
      <c r="F278" s="38" t="n">
        <f aca="false">$B274*F279^(-$B275)</f>
        <v>0.00106342230764383</v>
      </c>
      <c r="G278" s="38" t="n">
        <f aca="false">$B274*G279^(-$B275)</f>
        <v>0.000368453939692909</v>
      </c>
      <c r="H278" s="38" t="n">
        <f aca="false">$B274*H279^(-$B275)</f>
        <v>0.000154978797152319</v>
      </c>
      <c r="I278" s="38" t="n">
        <f aca="false">$B274*I279^(-$B275)</f>
        <v>7.45203755879869E-005</v>
      </c>
      <c r="J278" s="38" t="n">
        <f aca="false">$B274*J279^(-$B275)</f>
        <v>3.9519667953208E-005</v>
      </c>
      <c r="K278" s="38" t="n">
        <f aca="false">$B274*K279^(-$B275)</f>
        <v>2.2585973036428E-005</v>
      </c>
      <c r="L278" s="38" t="n">
        <f aca="false">$B274*L279^(-$B275)</f>
        <v>1.36927514572997E-005</v>
      </c>
      <c r="M278" s="38" t="n">
        <f aca="false">$B274*M279^(-$B275)</f>
        <v>8.70713886200745E-006</v>
      </c>
      <c r="N278" s="38" t="n">
        <f aca="false">$B274*N279^(-$B275)</f>
        <v>5.75943400775316E-006</v>
      </c>
    </row>
    <row r="279" customFormat="false" ht="13.8" hidden="false" customHeight="false" outlineLevel="0" collapsed="false">
      <c r="A279" s="6" t="s">
        <v>3</v>
      </c>
      <c r="B279" s="7" t="n">
        <v>0</v>
      </c>
      <c r="C279" s="7" t="n">
        <v>1</v>
      </c>
      <c r="D279" s="7" t="n">
        <v>2</v>
      </c>
      <c r="E279" s="8" t="n">
        <v>3</v>
      </c>
      <c r="F279" s="39" t="n">
        <v>4</v>
      </c>
      <c r="G279" s="40" t="n">
        <v>5</v>
      </c>
      <c r="H279" s="40" t="n">
        <v>6</v>
      </c>
      <c r="I279" s="40" t="n">
        <v>7</v>
      </c>
      <c r="J279" s="40" t="n">
        <v>8</v>
      </c>
      <c r="K279" s="40" t="n">
        <v>9</v>
      </c>
      <c r="L279" s="40" t="n">
        <v>10</v>
      </c>
      <c r="M279" s="40" t="n">
        <v>11</v>
      </c>
      <c r="N279" s="41" t="n">
        <v>12</v>
      </c>
    </row>
    <row r="280" customFormat="false" ht="13.8" hidden="false" customHeight="false" outlineLevel="0" collapsed="false">
      <c r="A280" s="9" t="s">
        <v>5</v>
      </c>
      <c r="B280" s="14" t="n">
        <f aca="false">B287/$B287</f>
        <v>1</v>
      </c>
      <c r="C280" s="15" t="n">
        <f aca="false">C287/$B287</f>
        <v>0.0188679245283019</v>
      </c>
      <c r="D280" s="15" t="n">
        <f aca="false">D287/$B287</f>
        <v>0</v>
      </c>
      <c r="E280" s="16" t="n">
        <f aca="false">E287/$B287</f>
        <v>0</v>
      </c>
      <c r="F280" s="42" t="n">
        <f aca="false">IF(E$278 = 0, 0, E280*(F$278/E$278))</f>
        <v>0</v>
      </c>
      <c r="G280" s="43" t="n">
        <f aca="false">IF(F$278 = 0, 0, F280*(G$278/F$278))</f>
        <v>0</v>
      </c>
      <c r="H280" s="43" t="n">
        <f aca="false">IF(G$278 = 0, 0, G280*(H$278/G$278))</f>
        <v>0</v>
      </c>
      <c r="I280" s="43" t="n">
        <f aca="false">IF(H$278 = 0, 0, H280*(I$278/H$278))</f>
        <v>0</v>
      </c>
      <c r="J280" s="43" t="n">
        <f aca="false">IF(I$278 = 0, 0, I280*(J$278/I$278))</f>
        <v>0</v>
      </c>
      <c r="K280" s="43" t="n">
        <f aca="false">IF(J$278 = 0, 0, J280*(K$278/J$278))</f>
        <v>0</v>
      </c>
      <c r="L280" s="43" t="n">
        <f aca="false">IF(K$278 = 0, 0, K280*(L$278/K$278))</f>
        <v>0</v>
      </c>
      <c r="M280" s="43" t="n">
        <f aca="false">IF(L$278 = 0, 0, L280*(M$278/L$278))</f>
        <v>0</v>
      </c>
      <c r="N280" s="44" t="n">
        <f aca="false">IF(M$278 = 0, 0, M280*(N$278/M$278))</f>
        <v>0</v>
      </c>
    </row>
    <row r="281" customFormat="false" ht="13.8" hidden="false" customHeight="false" outlineLevel="0" collapsed="false">
      <c r="A281" s="17" t="s">
        <v>6</v>
      </c>
      <c r="B281" s="22" t="n">
        <f aca="false">B288/$B288</f>
        <v>1</v>
      </c>
      <c r="C281" s="23" t="n">
        <f aca="false">C288/$B288</f>
        <v>0.0129310344827586</v>
      </c>
      <c r="D281" s="23" t="n">
        <f aca="false">D288/$B288</f>
        <v>0.0129310344827586</v>
      </c>
      <c r="E281" s="45" t="n">
        <f aca="false">IF(D$278 = 0, 0, D281*(E$278/D$278))</f>
        <v>0</v>
      </c>
      <c r="F281" s="46" t="n">
        <f aca="false">IF(E$278 = 0, 0, E281*(F$278/E$278))</f>
        <v>0</v>
      </c>
      <c r="G281" s="47" t="n">
        <f aca="false">IF(F$278 = 0, 0, F281*(G$278/F$278))</f>
        <v>0</v>
      </c>
      <c r="H281" s="47" t="n">
        <f aca="false">IF(G$278 = 0, 0, G281*(H$278/G$278))</f>
        <v>0</v>
      </c>
      <c r="I281" s="47" t="n">
        <f aca="false">IF(H$278 = 0, 0, H281*(I$278/H$278))</f>
        <v>0</v>
      </c>
      <c r="J281" s="47" t="n">
        <f aca="false">IF(I$278 = 0, 0, I281*(J$278/I$278))</f>
        <v>0</v>
      </c>
      <c r="K281" s="47" t="n">
        <f aca="false">IF(J$278 = 0, 0, J281*(K$278/J$278))</f>
        <v>0</v>
      </c>
      <c r="L281" s="47" t="n">
        <f aca="false">IF(K$278 = 0, 0, K281*(L$278/K$278))</f>
        <v>0</v>
      </c>
      <c r="M281" s="47" t="n">
        <f aca="false">IF(L$278 = 0, 0, L281*(M$278/L$278))</f>
        <v>0</v>
      </c>
      <c r="N281" s="45" t="n">
        <f aca="false">IF(M$278 = 0, 0, M281*(N$278/M$278))</f>
        <v>0</v>
      </c>
    </row>
    <row r="282" customFormat="false" ht="13.8" hidden="false" customHeight="false" outlineLevel="0" collapsed="false">
      <c r="A282" s="17" t="s">
        <v>7</v>
      </c>
      <c r="B282" s="22" t="n">
        <f aca="false">B289/$B289</f>
        <v>1</v>
      </c>
      <c r="C282" s="23" t="n">
        <f aca="false">C289/$B289</f>
        <v>0.0106837606837607</v>
      </c>
      <c r="D282" s="47" t="n">
        <f aca="false">IF(C$278 = 0, 0, C282*(D$278/C$278))</f>
        <v>0.00487793903496572</v>
      </c>
      <c r="E282" s="45" t="n">
        <f aca="false">IF(D$278 = 0, 0, D282*(E$278/D$278))</f>
        <v>0</v>
      </c>
      <c r="F282" s="46" t="n">
        <f aca="false">IF(E$278 = 0, 0, E282*(F$278/E$278))</f>
        <v>0</v>
      </c>
      <c r="G282" s="47" t="n">
        <f aca="false">IF(F$278 = 0, 0, F282*(G$278/F$278))</f>
        <v>0</v>
      </c>
      <c r="H282" s="47" t="n">
        <f aca="false">IF(G$278 = 0, 0, G282*(H$278/G$278))</f>
        <v>0</v>
      </c>
      <c r="I282" s="47" t="n">
        <f aca="false">IF(H$278 = 0, 0, H282*(I$278/H$278))</f>
        <v>0</v>
      </c>
      <c r="J282" s="47" t="n">
        <f aca="false">IF(I$278 = 0, 0, I282*(J$278/I$278))</f>
        <v>0</v>
      </c>
      <c r="K282" s="47" t="n">
        <f aca="false">IF(J$278 = 0, 0, J282*(K$278/J$278))</f>
        <v>0</v>
      </c>
      <c r="L282" s="47" t="n">
        <f aca="false">IF(K$278 = 0, 0, K282*(L$278/K$278))</f>
        <v>0</v>
      </c>
      <c r="M282" s="47" t="n">
        <f aca="false">IF(L$278 = 0, 0, L282*(M$278/L$278))</f>
        <v>0</v>
      </c>
      <c r="N282" s="45" t="n">
        <f aca="false">IF(M$278 = 0, 0, M282*(N$278/M$278))</f>
        <v>0</v>
      </c>
    </row>
    <row r="283" customFormat="false" ht="13.8" hidden="false" customHeight="false" outlineLevel="0" collapsed="false">
      <c r="A283" s="25" t="s">
        <v>8</v>
      </c>
      <c r="B283" s="30" t="n">
        <f aca="false">B290/$B290</f>
        <v>1</v>
      </c>
      <c r="C283" s="48" t="n">
        <f aca="false">IF(B$278 = 0, 0, B283*(C$278/B$278))</f>
        <v>0.0141609065649404</v>
      </c>
      <c r="D283" s="48" t="n">
        <f aca="false">IF(C$278 = 0, 0, C283*(D$278/C$278))</f>
        <v>0.00646551724137931</v>
      </c>
      <c r="E283" s="49" t="n">
        <f aca="false">IF(D$278 = 0, 0, D283*(E$278/D$278))</f>
        <v>0</v>
      </c>
      <c r="F283" s="50" t="n">
        <f aca="false">IF(E$278 = 0, 0, E283*(F$278/E$278))</f>
        <v>0</v>
      </c>
      <c r="G283" s="48" t="n">
        <f aca="false">IF(F$278 = 0, 0, F283*(G$278/F$278))</f>
        <v>0</v>
      </c>
      <c r="H283" s="48" t="n">
        <f aca="false">IF(G$278 = 0, 0, G283*(H$278/G$278))</f>
        <v>0</v>
      </c>
      <c r="I283" s="48" t="n">
        <f aca="false">IF(H$278 = 0, 0, H283*(I$278/H$278))</f>
        <v>0</v>
      </c>
      <c r="J283" s="48" t="n">
        <f aca="false">IF(I$278 = 0, 0, I283*(J$278/I$278))</f>
        <v>0</v>
      </c>
      <c r="K283" s="48" t="n">
        <f aca="false">IF(J$278 = 0, 0, J283*(K$278/J$278))</f>
        <v>0</v>
      </c>
      <c r="L283" s="48" t="n">
        <f aca="false">IF(K$278 = 0, 0, K283*(L$278/K$278))</f>
        <v>0</v>
      </c>
      <c r="M283" s="48" t="n">
        <f aca="false">IF(L$278 = 0, 0, L283*(M$278/L$278))</f>
        <v>0</v>
      </c>
      <c r="N283" s="49" t="n">
        <f aca="false">IF(M$278 = 0, 0, M283*(N$278/M$278))</f>
        <v>0</v>
      </c>
    </row>
    <row r="285" customFormat="false" ht="13.8" hidden="false" customHeight="false" outlineLevel="0" collapsed="false">
      <c r="A285" s="36" t="s">
        <v>1</v>
      </c>
      <c r="B285" s="34"/>
    </row>
    <row r="286" customFormat="false" ht="13.8" hidden="false" customHeight="false" outlineLevel="0" collapsed="false">
      <c r="A286" s="6" t="s">
        <v>3</v>
      </c>
      <c r="B286" s="7" t="n">
        <v>0</v>
      </c>
      <c r="C286" s="7" t="n">
        <v>1</v>
      </c>
      <c r="D286" s="7" t="n">
        <v>2</v>
      </c>
      <c r="E286" s="8" t="n">
        <v>3</v>
      </c>
      <c r="F286" s="39" t="n">
        <v>4</v>
      </c>
      <c r="G286" s="40" t="n">
        <v>5</v>
      </c>
      <c r="H286" s="40" t="n">
        <v>6</v>
      </c>
      <c r="I286" s="40" t="n">
        <v>7</v>
      </c>
      <c r="J286" s="40" t="n">
        <v>8</v>
      </c>
      <c r="K286" s="40" t="n">
        <v>9</v>
      </c>
      <c r="L286" s="40" t="n">
        <v>10</v>
      </c>
      <c r="M286" s="40" t="n">
        <v>11</v>
      </c>
      <c r="N286" s="41" t="n">
        <v>12</v>
      </c>
    </row>
    <row r="287" customFormat="false" ht="13.8" hidden="false" customHeight="false" outlineLevel="0" collapsed="false">
      <c r="A287" s="9" t="s">
        <v>5</v>
      </c>
      <c r="B287" s="10" t="n">
        <v>265</v>
      </c>
      <c r="C287" s="11" t="n">
        <v>5</v>
      </c>
      <c r="D287" s="11" t="n">
        <v>0</v>
      </c>
      <c r="E287" s="12" t="n">
        <v>0</v>
      </c>
      <c r="F287" s="51" t="n">
        <f aca="false">ROUND($B287*F280,0)</f>
        <v>0</v>
      </c>
      <c r="G287" s="52" t="n">
        <f aca="false">ROUND($B287*G280,0)</f>
        <v>0</v>
      </c>
      <c r="H287" s="52" t="n">
        <f aca="false">ROUND($B287*H280,0)</f>
        <v>0</v>
      </c>
      <c r="I287" s="52" t="n">
        <f aca="false">ROUND($B287*I280,0)</f>
        <v>0</v>
      </c>
      <c r="J287" s="52" t="n">
        <f aca="false">ROUND($B287*J280,0)</f>
        <v>0</v>
      </c>
      <c r="K287" s="52" t="n">
        <f aca="false">ROUND($B287*K280,0)</f>
        <v>0</v>
      </c>
      <c r="L287" s="52" t="n">
        <f aca="false">ROUND($B287*L280,0)</f>
        <v>0</v>
      </c>
      <c r="M287" s="52" t="n">
        <f aca="false">ROUND($B287*M280,0)</f>
        <v>0</v>
      </c>
      <c r="N287" s="53" t="n">
        <f aca="false">ROUND($B287*N280,0)</f>
        <v>0</v>
      </c>
    </row>
    <row r="288" customFormat="false" ht="13.8" hidden="false" customHeight="false" outlineLevel="0" collapsed="false">
      <c r="A288" s="17" t="s">
        <v>6</v>
      </c>
      <c r="B288" s="18" t="n">
        <v>232</v>
      </c>
      <c r="C288" s="19" t="n">
        <v>3</v>
      </c>
      <c r="D288" s="19" t="n">
        <v>3</v>
      </c>
      <c r="E288" s="54" t="n">
        <f aca="false">ROUND($B288*E281,0)</f>
        <v>0</v>
      </c>
      <c r="F288" s="55" t="n">
        <f aca="false">ROUND($B288*F281,0)</f>
        <v>0</v>
      </c>
      <c r="G288" s="56" t="n">
        <f aca="false">ROUND($B288*G281,0)</f>
        <v>0</v>
      </c>
      <c r="H288" s="56" t="n">
        <f aca="false">ROUND($B288*H281,0)</f>
        <v>0</v>
      </c>
      <c r="I288" s="56" t="n">
        <f aca="false">ROUND($B288*I281,0)</f>
        <v>0</v>
      </c>
      <c r="J288" s="56" t="n">
        <f aca="false">ROUND($B288*J281,0)</f>
        <v>0</v>
      </c>
      <c r="K288" s="56" t="n">
        <f aca="false">ROUND($B288*K281,0)</f>
        <v>0</v>
      </c>
      <c r="L288" s="56" t="n">
        <f aca="false">ROUND($B288*L281,0)</f>
        <v>0</v>
      </c>
      <c r="M288" s="56" t="n">
        <f aca="false">ROUND($B288*M281,0)</f>
        <v>0</v>
      </c>
      <c r="N288" s="54" t="n">
        <f aca="false">ROUND($B288*N281,0)</f>
        <v>0</v>
      </c>
    </row>
    <row r="289" customFormat="false" ht="13.8" hidden="false" customHeight="false" outlineLevel="0" collapsed="false">
      <c r="A289" s="17" t="s">
        <v>7</v>
      </c>
      <c r="B289" s="18" t="n">
        <v>468</v>
      </c>
      <c r="C289" s="19" t="n">
        <v>5</v>
      </c>
      <c r="D289" s="56" t="n">
        <f aca="false">ROUND($B289*D282,0)</f>
        <v>2</v>
      </c>
      <c r="E289" s="54" t="n">
        <f aca="false">ROUND($B289*E282,0)</f>
        <v>0</v>
      </c>
      <c r="F289" s="55" t="n">
        <f aca="false">ROUND($B289*F282,0)</f>
        <v>0</v>
      </c>
      <c r="G289" s="56" t="n">
        <f aca="false">ROUND($B289*G282,0)</f>
        <v>0</v>
      </c>
      <c r="H289" s="56" t="n">
        <f aca="false">ROUND($B289*H282,0)</f>
        <v>0</v>
      </c>
      <c r="I289" s="56" t="n">
        <f aca="false">ROUND($B289*I282,0)</f>
        <v>0</v>
      </c>
      <c r="J289" s="56" t="n">
        <f aca="false">ROUND($B289*J282,0)</f>
        <v>0</v>
      </c>
      <c r="K289" s="56" t="n">
        <f aca="false">ROUND($B289*K282,0)</f>
        <v>0</v>
      </c>
      <c r="L289" s="56" t="n">
        <f aca="false">ROUND($B289*L282,0)</f>
        <v>0</v>
      </c>
      <c r="M289" s="56" t="n">
        <f aca="false">ROUND($B289*M282,0)</f>
        <v>0</v>
      </c>
      <c r="N289" s="54" t="n">
        <f aca="false">ROUND($B289*N282,0)</f>
        <v>0</v>
      </c>
    </row>
    <row r="290" customFormat="false" ht="13.8" hidden="false" customHeight="false" outlineLevel="0" collapsed="false">
      <c r="A290" s="25" t="s">
        <v>8</v>
      </c>
      <c r="B290" s="26" t="n">
        <v>971</v>
      </c>
      <c r="C290" s="57" t="n">
        <f aca="false">ROUND($B290*C283,0)</f>
        <v>14</v>
      </c>
      <c r="D290" s="57" t="n">
        <f aca="false">ROUND($B290*D283,0)</f>
        <v>6</v>
      </c>
      <c r="E290" s="58" t="n">
        <f aca="false">ROUND($B290*E283,0)</f>
        <v>0</v>
      </c>
      <c r="F290" s="59" t="n">
        <f aca="false">ROUND($B290*F283,0)</f>
        <v>0</v>
      </c>
      <c r="G290" s="57" t="n">
        <f aca="false">ROUND($B290*G283,0)</f>
        <v>0</v>
      </c>
      <c r="H290" s="57" t="n">
        <f aca="false">ROUND($B290*H283,0)</f>
        <v>0</v>
      </c>
      <c r="I290" s="57" t="n">
        <f aca="false">ROUND($B290*I283,0)</f>
        <v>0</v>
      </c>
      <c r="J290" s="57" t="n">
        <f aca="false">ROUND($B290*J283,0)</f>
        <v>0</v>
      </c>
      <c r="K290" s="57" t="n">
        <f aca="false">ROUND($B290*K283,0)</f>
        <v>0</v>
      </c>
      <c r="L290" s="57" t="n">
        <f aca="false">ROUND($B290*L283,0)</f>
        <v>0</v>
      </c>
      <c r="M290" s="57" t="n">
        <f aca="false">ROUND($B290*M283,0)</f>
        <v>0</v>
      </c>
      <c r="N290" s="58" t="n">
        <f aca="false">ROUND($B290*N283,0)</f>
        <v>0</v>
      </c>
    </row>
    <row r="292" customFormat="false" ht="13.8" hidden="false" customHeight="false" outlineLevel="0" collapsed="false">
      <c r="A292" s="32" t="s">
        <v>19</v>
      </c>
    </row>
    <row r="293" customFormat="false" ht="13.8" hidden="false" customHeight="false" outlineLevel="0" collapsed="false">
      <c r="A293" s="6" t="s">
        <v>3</v>
      </c>
      <c r="B293" s="7" t="n">
        <v>0</v>
      </c>
      <c r="C293" s="7" t="n">
        <v>1</v>
      </c>
      <c r="D293" s="7" t="n">
        <v>2</v>
      </c>
      <c r="E293" s="8" t="n">
        <v>3</v>
      </c>
      <c r="F293" s="39" t="n">
        <v>4</v>
      </c>
      <c r="G293" s="40" t="n">
        <v>5</v>
      </c>
      <c r="H293" s="40" t="n">
        <v>6</v>
      </c>
      <c r="I293" s="40" t="n">
        <v>7</v>
      </c>
      <c r="J293" s="40" t="n">
        <v>8</v>
      </c>
      <c r="K293" s="40" t="n">
        <v>9</v>
      </c>
      <c r="L293" s="40" t="n">
        <v>10</v>
      </c>
      <c r="M293" s="40" t="n">
        <v>11</v>
      </c>
      <c r="N293" s="41" t="n">
        <v>12</v>
      </c>
    </row>
    <row r="294" customFormat="false" ht="13.8" hidden="false" customHeight="false" outlineLevel="0" collapsed="false">
      <c r="A294" s="9" t="s">
        <v>5</v>
      </c>
      <c r="B294" s="60" t="n">
        <v>1511.97</v>
      </c>
      <c r="C294" s="61" t="n">
        <v>1611.77</v>
      </c>
      <c r="D294" s="61" t="n">
        <v>1611.77</v>
      </c>
      <c r="E294" s="61" t="n">
        <v>1611.77</v>
      </c>
      <c r="F294" s="63" t="n">
        <f aca="false">F287*$B$276+E294</f>
        <v>1611.77</v>
      </c>
      <c r="G294" s="64" t="n">
        <f aca="false">G287*$B$276+F294</f>
        <v>1611.77</v>
      </c>
      <c r="H294" s="64" t="n">
        <f aca="false">H287*$B$276+G294</f>
        <v>1611.77</v>
      </c>
      <c r="I294" s="64" t="n">
        <f aca="false">I287*$B$276+H294</f>
        <v>1611.77</v>
      </c>
      <c r="J294" s="64" t="n">
        <f aca="false">J287*$B$276+I294</f>
        <v>1611.77</v>
      </c>
      <c r="K294" s="64" t="n">
        <f aca="false">K287*$B$276+J294</f>
        <v>1611.77</v>
      </c>
      <c r="L294" s="64" t="n">
        <f aca="false">L287*$B$276+K294</f>
        <v>1611.77</v>
      </c>
      <c r="M294" s="64" t="n">
        <f aca="false">M287*$B$276+L294</f>
        <v>1611.77</v>
      </c>
      <c r="N294" s="65" t="n">
        <f aca="false">N287*$B$276+M294</f>
        <v>1611.77</v>
      </c>
    </row>
    <row r="295" customFormat="false" ht="13.8" hidden="false" customHeight="false" outlineLevel="0" collapsed="false">
      <c r="A295" s="17" t="s">
        <v>6</v>
      </c>
      <c r="B295" s="66" t="n">
        <v>1267.46</v>
      </c>
      <c r="C295" s="67" t="n">
        <v>1302.39</v>
      </c>
      <c r="D295" s="67" t="n">
        <v>1332.33</v>
      </c>
      <c r="E295" s="68" t="n">
        <f aca="false">E288*$B$276+D295</f>
        <v>1332.33</v>
      </c>
      <c r="F295" s="69" t="n">
        <f aca="false">F288*$B$276+E295</f>
        <v>1332.33</v>
      </c>
      <c r="G295" s="70" t="n">
        <f aca="false">G288*$B$276+F295</f>
        <v>1332.33</v>
      </c>
      <c r="H295" s="70" t="n">
        <f aca="false">H288*$B$276+G295</f>
        <v>1332.33</v>
      </c>
      <c r="I295" s="70" t="n">
        <f aca="false">I288*$B$276+H295</f>
        <v>1332.33</v>
      </c>
      <c r="J295" s="70" t="n">
        <f aca="false">J288*$B$276+I295</f>
        <v>1332.33</v>
      </c>
      <c r="K295" s="70" t="n">
        <f aca="false">K288*$B$276+J295</f>
        <v>1332.33</v>
      </c>
      <c r="L295" s="70" t="n">
        <f aca="false">L288*$B$276+K295</f>
        <v>1332.33</v>
      </c>
      <c r="M295" s="70" t="n">
        <f aca="false">M288*$B$276+L295</f>
        <v>1332.33</v>
      </c>
      <c r="N295" s="68" t="n">
        <f aca="false">N288*$B$276+M295</f>
        <v>1332.33</v>
      </c>
    </row>
    <row r="296" customFormat="false" ht="13.8" hidden="false" customHeight="false" outlineLevel="0" collapsed="false">
      <c r="A296" s="17" t="s">
        <v>7</v>
      </c>
      <c r="B296" s="66" t="n">
        <v>2534.91999999998</v>
      </c>
      <c r="C296" s="67" t="n">
        <v>2589.80999999998</v>
      </c>
      <c r="D296" s="70" t="n">
        <f aca="false">D289*$B$276+C296</f>
        <v>2599.78999999998</v>
      </c>
      <c r="E296" s="68" t="n">
        <f aca="false">E289*$B$276+D296</f>
        <v>2599.78999999998</v>
      </c>
      <c r="F296" s="69" t="n">
        <f aca="false">F289*$B$276+E296</f>
        <v>2599.78999999998</v>
      </c>
      <c r="G296" s="70" t="n">
        <f aca="false">G289*$B$276+F296</f>
        <v>2599.78999999998</v>
      </c>
      <c r="H296" s="70" t="n">
        <f aca="false">H289*$B$276+G296</f>
        <v>2599.78999999998</v>
      </c>
      <c r="I296" s="70" t="n">
        <f aca="false">I289*$B$276+H296</f>
        <v>2599.78999999998</v>
      </c>
      <c r="J296" s="70" t="n">
        <f aca="false">J289*$B$276+I296</f>
        <v>2599.78999999998</v>
      </c>
      <c r="K296" s="70" t="n">
        <f aca="false">K289*$B$276+J296</f>
        <v>2599.78999999998</v>
      </c>
      <c r="L296" s="70" t="n">
        <f aca="false">L289*$B$276+K296</f>
        <v>2599.78999999998</v>
      </c>
      <c r="M296" s="70" t="n">
        <f aca="false">M289*$B$276+L296</f>
        <v>2599.78999999998</v>
      </c>
      <c r="N296" s="68" t="n">
        <f aca="false">N289*$B$276+M296</f>
        <v>2599.78999999998</v>
      </c>
    </row>
    <row r="297" customFormat="false" ht="13.8" hidden="false" customHeight="false" outlineLevel="0" collapsed="false">
      <c r="A297" s="25" t="s">
        <v>8</v>
      </c>
      <c r="B297" s="71" t="n">
        <v>5449.07999999994</v>
      </c>
      <c r="C297" s="72" t="n">
        <f aca="false">C290*$B$276+B297</f>
        <v>5518.93999999994</v>
      </c>
      <c r="D297" s="72" t="n">
        <f aca="false">D290*$B$276+C297</f>
        <v>5548.87999999994</v>
      </c>
      <c r="E297" s="73" t="n">
        <f aca="false">E290*$B$276+D297</f>
        <v>5548.87999999994</v>
      </c>
      <c r="F297" s="74" t="n">
        <f aca="false">F290*$B$276+E297</f>
        <v>5548.87999999994</v>
      </c>
      <c r="G297" s="72" t="n">
        <f aca="false">G290*$B$276+F297</f>
        <v>5548.87999999994</v>
      </c>
      <c r="H297" s="72" t="n">
        <f aca="false">H290*$B$276+G297</f>
        <v>5548.87999999994</v>
      </c>
      <c r="I297" s="72" t="n">
        <f aca="false">I290*$B$276+H297</f>
        <v>5548.87999999994</v>
      </c>
      <c r="J297" s="72" t="n">
        <f aca="false">J290*$B$276+I297</f>
        <v>5548.87999999994</v>
      </c>
      <c r="K297" s="72" t="n">
        <f aca="false">K290*$B$276+J297</f>
        <v>5548.87999999994</v>
      </c>
      <c r="L297" s="72" t="n">
        <f aca="false">L290*$B$276+K297</f>
        <v>5548.87999999994</v>
      </c>
      <c r="M297" s="72" t="n">
        <f aca="false">M290*$B$276+L297</f>
        <v>5548.87999999994</v>
      </c>
      <c r="N297" s="73" t="n">
        <f aca="false">N290*$B$276+M297</f>
        <v>5548.87999999994</v>
      </c>
    </row>
    <row r="299" customFormat="false" ht="13.8" hidden="false" customHeight="false" outlineLevel="0" collapsed="false">
      <c r="A299" s="32" t="s">
        <v>20</v>
      </c>
    </row>
    <row r="300" customFormat="false" ht="13.8" hidden="false" customHeight="false" outlineLevel="0" collapsed="false">
      <c r="A300" s="6" t="s">
        <v>3</v>
      </c>
      <c r="B300" s="7" t="n">
        <v>0</v>
      </c>
      <c r="C300" s="7" t="n">
        <v>1</v>
      </c>
      <c r="D300" s="7" t="n">
        <v>2</v>
      </c>
      <c r="E300" s="8" t="n">
        <v>3</v>
      </c>
      <c r="F300" s="39" t="n">
        <v>4</v>
      </c>
      <c r="G300" s="40" t="n">
        <v>5</v>
      </c>
      <c r="H300" s="40" t="n">
        <v>6</v>
      </c>
      <c r="I300" s="40" t="n">
        <v>7</v>
      </c>
      <c r="J300" s="40" t="n">
        <v>8</v>
      </c>
      <c r="K300" s="40" t="n">
        <v>9</v>
      </c>
      <c r="L300" s="40" t="n">
        <v>10</v>
      </c>
      <c r="M300" s="40" t="n">
        <v>11</v>
      </c>
      <c r="N300" s="41" t="n">
        <v>12</v>
      </c>
      <c r="O300" s="75" t="s">
        <v>21</v>
      </c>
      <c r="P300" s="75" t="s">
        <v>22</v>
      </c>
    </row>
    <row r="301" customFormat="false" ht="13.8" hidden="false" customHeight="false" outlineLevel="0" collapsed="false">
      <c r="A301" s="9" t="s">
        <v>5</v>
      </c>
      <c r="B301" s="76" t="n">
        <f aca="false">B294/$B287</f>
        <v>5.70554716981133</v>
      </c>
      <c r="C301" s="77" t="n">
        <f aca="false">C294/$B287</f>
        <v>6.08215094339624</v>
      </c>
      <c r="D301" s="77" t="n">
        <f aca="false">D294/$B287</f>
        <v>6.08215094339624</v>
      </c>
      <c r="E301" s="78" t="n">
        <f aca="false">E294/$B287</f>
        <v>6.08215094339624</v>
      </c>
      <c r="F301" s="79" t="n">
        <f aca="false">F294/$B287</f>
        <v>6.08215094339624</v>
      </c>
      <c r="G301" s="80" t="n">
        <f aca="false">G294/$B287</f>
        <v>6.08215094339624</v>
      </c>
      <c r="H301" s="80" t="n">
        <f aca="false">H294/$B287</f>
        <v>6.08215094339624</v>
      </c>
      <c r="I301" s="80" t="n">
        <f aca="false">I294/$B287</f>
        <v>6.08215094339624</v>
      </c>
      <c r="J301" s="80" t="n">
        <f aca="false">J294/$B287</f>
        <v>6.08215094339624</v>
      </c>
      <c r="K301" s="80" t="n">
        <f aca="false">K294/$B287</f>
        <v>6.08215094339624</v>
      </c>
      <c r="L301" s="80" t="n">
        <f aca="false">L294/$B287</f>
        <v>6.08215094339624</v>
      </c>
      <c r="M301" s="80" t="n">
        <f aca="false">M294/$B287</f>
        <v>6.08215094339624</v>
      </c>
      <c r="N301" s="81" t="n">
        <f aca="false">N294/$B287</f>
        <v>6.08215094339624</v>
      </c>
      <c r="O301" s="82" t="n">
        <f aca="false">E301</f>
        <v>6.08215094339624</v>
      </c>
      <c r="P301" s="82" t="n">
        <f aca="false">N301</f>
        <v>6.08215094339624</v>
      </c>
    </row>
    <row r="302" customFormat="false" ht="13.8" hidden="false" customHeight="false" outlineLevel="0" collapsed="false">
      <c r="A302" s="17" t="s">
        <v>6</v>
      </c>
      <c r="B302" s="83" t="n">
        <f aca="false">B295/$B288</f>
        <v>5.46318965517242</v>
      </c>
      <c r="C302" s="84" t="n">
        <f aca="false">C295/$B288</f>
        <v>5.61375000000001</v>
      </c>
      <c r="D302" s="84" t="n">
        <f aca="false">D295/$B288</f>
        <v>5.74280172413794</v>
      </c>
      <c r="E302" s="85" t="n">
        <f aca="false">E295/$B288</f>
        <v>5.74280172413794</v>
      </c>
      <c r="F302" s="86" t="n">
        <f aca="false">F295/$B288</f>
        <v>5.74280172413794</v>
      </c>
      <c r="G302" s="87" t="n">
        <f aca="false">G295/$B288</f>
        <v>5.74280172413794</v>
      </c>
      <c r="H302" s="87" t="n">
        <f aca="false">H295/$B288</f>
        <v>5.74280172413794</v>
      </c>
      <c r="I302" s="87" t="n">
        <f aca="false">I295/$B288</f>
        <v>5.74280172413794</v>
      </c>
      <c r="J302" s="87" t="n">
        <f aca="false">J295/$B288</f>
        <v>5.74280172413794</v>
      </c>
      <c r="K302" s="87" t="n">
        <f aca="false">K295/$B288</f>
        <v>5.74280172413794</v>
      </c>
      <c r="L302" s="87" t="n">
        <f aca="false">L295/$B288</f>
        <v>5.74280172413794</v>
      </c>
      <c r="M302" s="87" t="n">
        <f aca="false">M295/$B288</f>
        <v>5.74280172413794</v>
      </c>
      <c r="N302" s="85" t="n">
        <f aca="false">N295/$B288</f>
        <v>5.74280172413794</v>
      </c>
      <c r="O302" s="82" t="n">
        <f aca="false">E302</f>
        <v>5.74280172413794</v>
      </c>
      <c r="P302" s="82" t="n">
        <f aca="false">N302</f>
        <v>5.74280172413794</v>
      </c>
    </row>
    <row r="303" customFormat="false" ht="13.8" hidden="false" customHeight="false" outlineLevel="0" collapsed="false">
      <c r="A303" s="17" t="s">
        <v>7</v>
      </c>
      <c r="B303" s="83" t="n">
        <f aca="false">B296/$B289</f>
        <v>5.41649572649569</v>
      </c>
      <c r="C303" s="84" t="n">
        <f aca="false">C296/$B289</f>
        <v>5.53378205128201</v>
      </c>
      <c r="D303" s="87" t="n">
        <f aca="false">D296/$B289</f>
        <v>5.5551068376068</v>
      </c>
      <c r="E303" s="85" t="n">
        <f aca="false">E296/$B289</f>
        <v>5.5551068376068</v>
      </c>
      <c r="F303" s="86" t="n">
        <f aca="false">F296/$B289</f>
        <v>5.5551068376068</v>
      </c>
      <c r="G303" s="87" t="n">
        <f aca="false">G296/$B289</f>
        <v>5.5551068376068</v>
      </c>
      <c r="H303" s="87" t="n">
        <f aca="false">H296/$B289</f>
        <v>5.5551068376068</v>
      </c>
      <c r="I303" s="87" t="n">
        <f aca="false">I296/$B289</f>
        <v>5.5551068376068</v>
      </c>
      <c r="J303" s="87" t="n">
        <f aca="false">J296/$B289</f>
        <v>5.5551068376068</v>
      </c>
      <c r="K303" s="87" t="n">
        <f aca="false">K296/$B289</f>
        <v>5.5551068376068</v>
      </c>
      <c r="L303" s="87" t="n">
        <f aca="false">L296/$B289</f>
        <v>5.5551068376068</v>
      </c>
      <c r="M303" s="87" t="n">
        <f aca="false">M296/$B289</f>
        <v>5.5551068376068</v>
      </c>
      <c r="N303" s="85" t="n">
        <f aca="false">N296/$B289</f>
        <v>5.5551068376068</v>
      </c>
      <c r="O303" s="82" t="n">
        <f aca="false">E303</f>
        <v>5.5551068376068</v>
      </c>
      <c r="P303" s="82" t="n">
        <f aca="false">N303</f>
        <v>5.5551068376068</v>
      </c>
    </row>
    <row r="304" customFormat="false" ht="13.8" hidden="false" customHeight="false" outlineLevel="0" collapsed="false">
      <c r="A304" s="25" t="s">
        <v>8</v>
      </c>
      <c r="B304" s="88" t="n">
        <f aca="false">B297/$B290</f>
        <v>5.61182286302774</v>
      </c>
      <c r="C304" s="89" t="n">
        <f aca="false">C297/$B290</f>
        <v>5.68376930998964</v>
      </c>
      <c r="D304" s="89" t="n">
        <f aca="false">D297/$B290</f>
        <v>5.71460350154474</v>
      </c>
      <c r="E304" s="90" t="n">
        <f aca="false">E297/$B290</f>
        <v>5.71460350154474</v>
      </c>
      <c r="F304" s="91" t="n">
        <f aca="false">F297/$B290</f>
        <v>5.71460350154474</v>
      </c>
      <c r="G304" s="89" t="n">
        <f aca="false">G297/$B290</f>
        <v>5.71460350154474</v>
      </c>
      <c r="H304" s="89" t="n">
        <f aca="false">H297/$B290</f>
        <v>5.71460350154474</v>
      </c>
      <c r="I304" s="89" t="n">
        <f aca="false">I297/$B290</f>
        <v>5.71460350154474</v>
      </c>
      <c r="J304" s="89" t="n">
        <f aca="false">J297/$B290</f>
        <v>5.71460350154474</v>
      </c>
      <c r="K304" s="89" t="n">
        <f aca="false">K297/$B290</f>
        <v>5.71460350154474</v>
      </c>
      <c r="L304" s="89" t="n">
        <f aca="false">L297/$B290</f>
        <v>5.71460350154474</v>
      </c>
      <c r="M304" s="89" t="n">
        <f aca="false">M297/$B290</f>
        <v>5.71460350154474</v>
      </c>
      <c r="N304" s="90" t="n">
        <f aca="false">N297/$B290</f>
        <v>5.71460350154474</v>
      </c>
      <c r="O304" s="82" t="n">
        <f aca="false">E304</f>
        <v>5.71460350154474</v>
      </c>
      <c r="P304" s="82" t="n">
        <f aca="false">N304</f>
        <v>5.71460350154474</v>
      </c>
    </row>
    <row r="305" customFormat="false" ht="13.8" hidden="false" customHeight="false" outlineLevel="0" collapsed="false">
      <c r="A305" s="32"/>
      <c r="N305" s="92" t="s">
        <v>23</v>
      </c>
      <c r="O305" s="93" t="n">
        <f aca="false">SUMPRODUCT(O301:O304,$B287:$B290)/SUM($B287:$B290)</f>
        <v>5.7297365702479</v>
      </c>
      <c r="P305" s="93" t="n">
        <f aca="false">SUMPRODUCT(P301:P304,$B287:$B290)/SUM($B287:$B290)</f>
        <v>5.7297365702479</v>
      </c>
    </row>
    <row r="306" customFormat="false" ht="15" hidden="false" customHeight="false" outlineLevel="0" collapsed="false">
      <c r="A306" s="31" t="s">
        <v>27</v>
      </c>
      <c r="B306" s="3"/>
      <c r="C306" s="3"/>
      <c r="D306" s="3"/>
      <c r="O306" s="82"/>
      <c r="P306" s="82"/>
    </row>
    <row r="307" customFormat="false" ht="13.8" hidden="false" customHeight="false" outlineLevel="0" collapsed="false">
      <c r="A307" s="32" t="s">
        <v>25</v>
      </c>
      <c r="O307" s="82"/>
      <c r="P307" s="82"/>
    </row>
    <row r="309" customFormat="false" ht="13.8" hidden="false" customHeight="false" outlineLevel="0" collapsed="false">
      <c r="A309" s="33" t="s">
        <v>15</v>
      </c>
      <c r="B309" s="34"/>
      <c r="F309" s="33"/>
    </row>
    <row r="310" customFormat="false" ht="13.8" hidden="false" customHeight="false" outlineLevel="0" collapsed="false">
      <c r="A310" s="1" t="s">
        <v>16</v>
      </c>
      <c r="B310" s="35" t="n">
        <v>0.9</v>
      </c>
      <c r="F310" s="33"/>
    </row>
    <row r="311" customFormat="false" ht="13.8" hidden="false" customHeight="false" outlineLevel="0" collapsed="false">
      <c r="A311" s="1" t="s">
        <v>17</v>
      </c>
      <c r="B311" s="35" t="n">
        <v>1.25</v>
      </c>
      <c r="F311" s="33"/>
    </row>
    <row r="312" customFormat="false" ht="13.8" hidden="false" customHeight="false" outlineLevel="0" collapsed="false">
      <c r="B312" s="35"/>
      <c r="F312" s="33"/>
    </row>
    <row r="313" customFormat="false" ht="13.8" hidden="false" customHeight="false" outlineLevel="0" collapsed="false">
      <c r="A313" s="36" t="s">
        <v>2</v>
      </c>
      <c r="B313" s="37" t="n">
        <f aca="false">AVERAGE(B315:B318)</f>
        <v>1</v>
      </c>
      <c r="C313" s="37" t="n">
        <f aca="false">AVERAGE(C315:C317)</f>
        <v>0.312485963654631</v>
      </c>
      <c r="D313" s="37" t="n">
        <f aca="false">AVERAGE(D315:D316)</f>
        <v>0.223050917378115</v>
      </c>
      <c r="E313" s="37" t="n">
        <f aca="false">AVERAGE(E315)</f>
        <v>0.176412289395441</v>
      </c>
      <c r="F313" s="38" t="n">
        <f aca="false">$B310*F314^(-$B311)</f>
        <v>0.159099025766973</v>
      </c>
      <c r="G313" s="38" t="n">
        <f aca="false">$B310*G314^(-$B311)</f>
        <v>0.120373254895756</v>
      </c>
      <c r="H313" s="38" t="n">
        <f aca="false">$B310*H314^(-$B311)</f>
        <v>0.0958414656369409</v>
      </c>
      <c r="I313" s="38" t="n">
        <f aca="false">$B310*I314^(-$B311)</f>
        <v>0.079044191093734</v>
      </c>
      <c r="J313" s="38" t="n">
        <f aca="false">$B310*J314^(-$B311)</f>
        <v>0.0668929002189031</v>
      </c>
      <c r="K313" s="38" t="n">
        <f aca="false">$B310*K314^(-$B311)</f>
        <v>0.0577350269189626</v>
      </c>
      <c r="L313" s="38" t="n">
        <f aca="false">$B310*L314^(-$B311)</f>
        <v>0.0506107192671314</v>
      </c>
      <c r="M313" s="38" t="n">
        <f aca="false">$B310*M314^(-$B311)</f>
        <v>0.0449264034635001</v>
      </c>
      <c r="N313" s="38" t="n">
        <f aca="false">$B310*N314^(-$B311)</f>
        <v>0.0402963724433828</v>
      </c>
    </row>
    <row r="314" customFormat="false" ht="13.8" hidden="false" customHeight="false" outlineLevel="0" collapsed="false">
      <c r="A314" s="6" t="s">
        <v>3</v>
      </c>
      <c r="B314" s="7" t="n">
        <v>0</v>
      </c>
      <c r="C314" s="7" t="n">
        <v>1</v>
      </c>
      <c r="D314" s="7" t="n">
        <v>2</v>
      </c>
      <c r="E314" s="8" t="n">
        <v>3</v>
      </c>
      <c r="F314" s="39" t="n">
        <v>4</v>
      </c>
      <c r="G314" s="40" t="n">
        <v>5</v>
      </c>
      <c r="H314" s="40" t="n">
        <v>6</v>
      </c>
      <c r="I314" s="40" t="n">
        <v>7</v>
      </c>
      <c r="J314" s="40" t="n">
        <v>8</v>
      </c>
      <c r="K314" s="40" t="n">
        <v>9</v>
      </c>
      <c r="L314" s="40" t="n">
        <v>10</v>
      </c>
      <c r="M314" s="40" t="n">
        <v>11</v>
      </c>
      <c r="N314" s="41" t="n">
        <v>12</v>
      </c>
    </row>
    <row r="315" customFormat="false" ht="13.8" hidden="false" customHeight="false" outlineLevel="0" collapsed="false">
      <c r="A315" s="9" t="s">
        <v>5</v>
      </c>
      <c r="B315" s="14" t="n">
        <f aca="false">B322/$B322</f>
        <v>1</v>
      </c>
      <c r="C315" s="15" t="n">
        <f aca="false">C322/$B322</f>
        <v>0.33994053518335</v>
      </c>
      <c r="D315" s="15" t="n">
        <f aca="false">D322/$B322</f>
        <v>0.232903865213082</v>
      </c>
      <c r="E315" s="16" t="n">
        <f aca="false">E322/$B322</f>
        <v>0.176412289395441</v>
      </c>
      <c r="F315" s="42" t="n">
        <f aca="false">IF(E$313 = 0, 0, E315*(F$313/E$313))</f>
        <v>0.159099025766973</v>
      </c>
      <c r="G315" s="42" t="n">
        <f aca="false">IF(F$313 = 0, 0, F315*(G$313/F$313))</f>
        <v>0.120373254895756</v>
      </c>
      <c r="H315" s="42" t="n">
        <f aca="false">IF(G$313 = 0, 0, G315*(H$313/G$313))</f>
        <v>0.0958414656369409</v>
      </c>
      <c r="I315" s="42" t="n">
        <f aca="false">IF(H$313 = 0, 0, H315*(I$313/H$313))</f>
        <v>0.079044191093734</v>
      </c>
      <c r="J315" s="42" t="n">
        <f aca="false">IF(I$313 = 0, 0, I315*(J$313/I$313))</f>
        <v>0.0668929002189031</v>
      </c>
      <c r="K315" s="42" t="n">
        <f aca="false">IF(J$313 = 0, 0, J315*(K$313/J$313))</f>
        <v>0.0577350269189626</v>
      </c>
      <c r="L315" s="42" t="n">
        <f aca="false">IF(K$313 = 0, 0, K315*(L$313/K$313))</f>
        <v>0.0506107192671314</v>
      </c>
      <c r="M315" s="42" t="n">
        <f aca="false">IF(L$313 = 0, 0, L315*(M$313/L$313))</f>
        <v>0.0449264034635001</v>
      </c>
      <c r="N315" s="42" t="n">
        <f aca="false">IF(M$313 = 0, 0, M315*(N$313/M$313))</f>
        <v>0.0402963724433828</v>
      </c>
    </row>
    <row r="316" customFormat="false" ht="13.8" hidden="false" customHeight="false" outlineLevel="0" collapsed="false">
      <c r="A316" s="17" t="s">
        <v>6</v>
      </c>
      <c r="B316" s="22" t="n">
        <f aca="false">B323/$B323</f>
        <v>1</v>
      </c>
      <c r="C316" s="23" t="n">
        <f aca="false">C323/$B323</f>
        <v>0.314720812182741</v>
      </c>
      <c r="D316" s="23" t="n">
        <f aca="false">D323/$B323</f>
        <v>0.213197969543147</v>
      </c>
      <c r="E316" s="42" t="n">
        <f aca="false">IF(D$313 = 0, 0, D316*(E$313/D$313))</f>
        <v>0.16861953469489</v>
      </c>
      <c r="F316" s="42" t="n">
        <f aca="false">IF(E$313 = 0, 0, E316*(F$313/E$313))</f>
        <v>0.152071059148846</v>
      </c>
      <c r="G316" s="42" t="n">
        <f aca="false">IF(F$313 = 0, 0, F316*(G$313/F$313))</f>
        <v>0.115055942529797</v>
      </c>
      <c r="H316" s="42" t="n">
        <f aca="false">IF(G$313 = 0, 0, G316*(H$313/G$313))</f>
        <v>0.0916078091586454</v>
      </c>
      <c r="I316" s="42" t="n">
        <f aca="false">IF(H$313 = 0, 0, H316*(I$313/H$313))</f>
        <v>0.0755525296351823</v>
      </c>
      <c r="J316" s="42" t="n">
        <f aca="false">IF(I$313 = 0, 0, I316*(J$313/I$313))</f>
        <v>0.0639380042510499</v>
      </c>
      <c r="K316" s="42" t="n">
        <f aca="false">IF(J$313 = 0, 0, J316*(K$313/J$313))</f>
        <v>0.0551846666013735</v>
      </c>
      <c r="L316" s="42" t="n">
        <f aca="false">IF(K$313 = 0, 0, K316*(L$313/K$313))</f>
        <v>0.0483750648134719</v>
      </c>
      <c r="M316" s="42" t="n">
        <f aca="false">IF(L$313 = 0, 0, L316*(M$313/L$313))</f>
        <v>0.0429418453413374</v>
      </c>
      <c r="N316" s="42" t="n">
        <f aca="false">IF(M$313 = 0, 0, M316*(N$313/M$313))</f>
        <v>0.0385163391653756</v>
      </c>
    </row>
    <row r="317" customFormat="false" ht="13.8" hidden="false" customHeight="false" outlineLevel="0" collapsed="false">
      <c r="A317" s="17" t="s">
        <v>7</v>
      </c>
      <c r="B317" s="22" t="n">
        <f aca="false">B324/$B324</f>
        <v>1</v>
      </c>
      <c r="C317" s="23" t="n">
        <f aca="false">C324/$B324</f>
        <v>0.282796543597801</v>
      </c>
      <c r="D317" s="42" t="n">
        <f aca="false">IF(C$313 = 0, 0, C317*(D$313/C$313))</f>
        <v>0.201858757888291</v>
      </c>
      <c r="E317" s="42" t="n">
        <f aca="false">IF(D$313 = 0, 0, D317*(E$313/D$313))</f>
        <v>0.159651285151305</v>
      </c>
      <c r="F317" s="42" t="n">
        <f aca="false">IF(E$313 = 0, 0, E317*(F$313/E$313))</f>
        <v>0.143982961828022</v>
      </c>
      <c r="G317" s="42" t="n">
        <f aca="false">IF(F$313 = 0, 0, F317*(G$313/F$313))</f>
        <v>0.108936542390621</v>
      </c>
      <c r="H317" s="42" t="n">
        <f aca="false">IF(G$313 = 0, 0, G317*(H$313/G$313))</f>
        <v>0.0867355285289872</v>
      </c>
      <c r="I317" s="42" t="n">
        <f aca="false">IF(H$313 = 0, 0, H317*(I$313/H$313))</f>
        <v>0.0715341699555431</v>
      </c>
      <c r="J317" s="42" t="n">
        <f aca="false">IF(I$313 = 0, 0, I317*(J$313/I$313))</f>
        <v>0.0605373782293982</v>
      </c>
      <c r="K317" s="42" t="n">
        <f aca="false">IF(J$313 = 0, 0, J317*(K$313/J$313))</f>
        <v>0.0522495982419678</v>
      </c>
      <c r="L317" s="42" t="n">
        <f aca="false">IF(K$313 = 0, 0, K317*(L$313/K$313))</f>
        <v>0.0458021739932039</v>
      </c>
      <c r="M317" s="42" t="n">
        <f aca="false">IF(L$313 = 0, 0, L317*(M$313/L$313))</f>
        <v>0.0406579273742999</v>
      </c>
      <c r="N317" s="42" t="n">
        <f aca="false">IF(M$313 = 0, 0, M317*(N$313/M$313))</f>
        <v>0.0364677975075808</v>
      </c>
    </row>
    <row r="318" customFormat="false" ht="13.8" hidden="false" customHeight="false" outlineLevel="0" collapsed="false">
      <c r="A318" s="25" t="s">
        <v>8</v>
      </c>
      <c r="B318" s="30" t="n">
        <f aca="false">B325/$B325</f>
        <v>1</v>
      </c>
      <c r="C318" s="42" t="n">
        <f aca="false">IF(B$313 = 0, 0, B318*(C$313/B$313))</f>
        <v>0.312485963654631</v>
      </c>
      <c r="D318" s="42" t="n">
        <f aca="false">IF(C$313 = 0, 0, C318*(D$313/C$313))</f>
        <v>0.223050917378115</v>
      </c>
      <c r="E318" s="42" t="n">
        <f aca="false">IF(D$313 = 0, 0, D318*(E$313/D$313))</f>
        <v>0.176412289395441</v>
      </c>
      <c r="F318" s="42" t="n">
        <f aca="false">IF(E$313 = 0, 0, E318*(F$313/E$313))</f>
        <v>0.159099025766973</v>
      </c>
      <c r="G318" s="42" t="n">
        <f aca="false">IF(F$313 = 0, 0, F318*(G$313/F$313))</f>
        <v>0.120373254895756</v>
      </c>
      <c r="H318" s="42" t="n">
        <f aca="false">IF(G$313 = 0, 0, G318*(H$313/G$313))</f>
        <v>0.0958414656369409</v>
      </c>
      <c r="I318" s="42" t="n">
        <f aca="false">IF(H$313 = 0, 0, H318*(I$313/H$313))</f>
        <v>0.079044191093734</v>
      </c>
      <c r="J318" s="42" t="n">
        <f aca="false">IF(I$313 = 0, 0, I318*(J$313/I$313))</f>
        <v>0.0668929002189031</v>
      </c>
      <c r="K318" s="42" t="n">
        <f aca="false">IF(J$313 = 0, 0, J318*(K$313/J$313))</f>
        <v>0.0577350269189626</v>
      </c>
      <c r="L318" s="42" t="n">
        <f aca="false">IF(K$313 = 0, 0, K318*(L$313/K$313))</f>
        <v>0.0506107192671314</v>
      </c>
      <c r="M318" s="42" t="n">
        <f aca="false">IF(L$313 = 0, 0, L318*(M$313/L$313))</f>
        <v>0.0449264034635001</v>
      </c>
      <c r="N318" s="42" t="n">
        <f aca="false">IF(M$313 = 0, 0, M318*(N$313/M$313))</f>
        <v>0.0402963724433828</v>
      </c>
    </row>
    <row r="320" customFormat="false" ht="13.8" hidden="false" customHeight="false" outlineLevel="0" collapsed="false">
      <c r="A320" s="36" t="s">
        <v>1</v>
      </c>
      <c r="B320" s="34"/>
    </row>
    <row r="321" customFormat="false" ht="13.8" hidden="false" customHeight="false" outlineLevel="0" collapsed="false">
      <c r="A321" s="6" t="s">
        <v>3</v>
      </c>
      <c r="B321" s="7" t="n">
        <v>0</v>
      </c>
      <c r="C321" s="7" t="n">
        <v>1</v>
      </c>
      <c r="D321" s="7" t="n">
        <v>2</v>
      </c>
      <c r="E321" s="8" t="n">
        <v>3</v>
      </c>
      <c r="F321" s="39" t="n">
        <v>4</v>
      </c>
      <c r="G321" s="40" t="n">
        <v>5</v>
      </c>
      <c r="H321" s="40" t="n">
        <v>6</v>
      </c>
      <c r="I321" s="40" t="n">
        <v>7</v>
      </c>
      <c r="J321" s="40" t="n">
        <v>8</v>
      </c>
      <c r="K321" s="40" t="n">
        <v>9</v>
      </c>
      <c r="L321" s="40" t="n">
        <v>10</v>
      </c>
      <c r="M321" s="40" t="n">
        <v>11</v>
      </c>
      <c r="N321" s="41" t="n">
        <v>12</v>
      </c>
    </row>
    <row r="322" customFormat="false" ht="13.8" hidden="false" customHeight="false" outlineLevel="0" collapsed="false">
      <c r="A322" s="9" t="s">
        <v>5</v>
      </c>
      <c r="B322" s="10" t="n">
        <v>1009</v>
      </c>
      <c r="C322" s="11" t="n">
        <v>343</v>
      </c>
      <c r="D322" s="11" t="n">
        <v>235</v>
      </c>
      <c r="E322" s="12" t="n">
        <v>178</v>
      </c>
      <c r="F322" s="51" t="n">
        <f aca="false">ROUND($B322*F315,0)</f>
        <v>161</v>
      </c>
      <c r="G322" s="52" t="n">
        <f aca="false">ROUND($B322*G315,0)</f>
        <v>121</v>
      </c>
      <c r="H322" s="52" t="n">
        <f aca="false">ROUND($B322*H315,0)</f>
        <v>97</v>
      </c>
      <c r="I322" s="52" t="n">
        <f aca="false">ROUND($B322*I315,0)</f>
        <v>80</v>
      </c>
      <c r="J322" s="52" t="n">
        <f aca="false">ROUND($B322*J315,0)</f>
        <v>67</v>
      </c>
      <c r="K322" s="52" t="n">
        <f aca="false">ROUND($B322*K315,0)</f>
        <v>58</v>
      </c>
      <c r="L322" s="52" t="n">
        <f aca="false">ROUND($B322*L315,0)</f>
        <v>51</v>
      </c>
      <c r="M322" s="52" t="n">
        <f aca="false">ROUND($B322*M315,0)</f>
        <v>45</v>
      </c>
      <c r="N322" s="53" t="n">
        <f aca="false">ROUND($B322*N315,0)</f>
        <v>41</v>
      </c>
    </row>
    <row r="323" customFormat="false" ht="13.8" hidden="false" customHeight="false" outlineLevel="0" collapsed="false">
      <c r="A323" s="17" t="s">
        <v>6</v>
      </c>
      <c r="B323" s="18" t="n">
        <v>591</v>
      </c>
      <c r="C323" s="19" t="n">
        <v>186</v>
      </c>
      <c r="D323" s="19" t="n">
        <v>126</v>
      </c>
      <c r="E323" s="54" t="n">
        <f aca="false">ROUND($B323*E316,0)</f>
        <v>100</v>
      </c>
      <c r="F323" s="55" t="n">
        <f aca="false">ROUND($B323*F316,0)</f>
        <v>90</v>
      </c>
      <c r="G323" s="56" t="n">
        <f aca="false">ROUND($B323*G316,0)</f>
        <v>68</v>
      </c>
      <c r="H323" s="56" t="n">
        <f aca="false">ROUND($B323*H316,0)</f>
        <v>54</v>
      </c>
      <c r="I323" s="56" t="n">
        <f aca="false">ROUND($B323*I316,0)</f>
        <v>45</v>
      </c>
      <c r="J323" s="56" t="n">
        <f aca="false">ROUND($B323*J316,0)</f>
        <v>38</v>
      </c>
      <c r="K323" s="56" t="n">
        <f aca="false">ROUND($B323*K316,0)</f>
        <v>33</v>
      </c>
      <c r="L323" s="56" t="n">
        <f aca="false">ROUND($B323*L316,0)</f>
        <v>29</v>
      </c>
      <c r="M323" s="56" t="n">
        <f aca="false">ROUND($B323*M316,0)</f>
        <v>25</v>
      </c>
      <c r="N323" s="54" t="n">
        <f aca="false">ROUND($B323*N316,0)</f>
        <v>23</v>
      </c>
    </row>
    <row r="324" customFormat="false" ht="13.8" hidden="false" customHeight="false" outlineLevel="0" collapsed="false">
      <c r="A324" s="17" t="s">
        <v>7</v>
      </c>
      <c r="B324" s="18" t="n">
        <v>1273</v>
      </c>
      <c r="C324" s="19" t="n">
        <v>360</v>
      </c>
      <c r="D324" s="56" t="n">
        <f aca="false">ROUND($B324*D317,0)</f>
        <v>257</v>
      </c>
      <c r="E324" s="54" t="n">
        <f aca="false">ROUND($B324*E317,0)</f>
        <v>203</v>
      </c>
      <c r="F324" s="55" t="n">
        <f aca="false">ROUND($B324*F317,0)</f>
        <v>183</v>
      </c>
      <c r="G324" s="56" t="n">
        <f aca="false">ROUND($B324*G317,0)</f>
        <v>139</v>
      </c>
      <c r="H324" s="56" t="n">
        <f aca="false">ROUND($B324*H317,0)</f>
        <v>110</v>
      </c>
      <c r="I324" s="56" t="n">
        <f aca="false">ROUND($B324*I317,0)</f>
        <v>91</v>
      </c>
      <c r="J324" s="56" t="n">
        <f aca="false">ROUND($B324*J317,0)</f>
        <v>77</v>
      </c>
      <c r="K324" s="56" t="n">
        <f aca="false">ROUND($B324*K317,0)</f>
        <v>67</v>
      </c>
      <c r="L324" s="56" t="n">
        <f aca="false">ROUND($B324*L317,0)</f>
        <v>58</v>
      </c>
      <c r="M324" s="56" t="n">
        <f aca="false">ROUND($B324*M317,0)</f>
        <v>52</v>
      </c>
      <c r="N324" s="54" t="n">
        <f aca="false">ROUND($B324*N317,0)</f>
        <v>46</v>
      </c>
    </row>
    <row r="325" customFormat="false" ht="13.8" hidden="false" customHeight="false" outlineLevel="0" collapsed="false">
      <c r="A325" s="25" t="s">
        <v>8</v>
      </c>
      <c r="B325" s="26" t="n">
        <v>2721</v>
      </c>
      <c r="C325" s="57" t="n">
        <f aca="false">ROUND($B325*C318,0)</f>
        <v>850</v>
      </c>
      <c r="D325" s="57" t="n">
        <f aca="false">ROUND($B325*D318,0)</f>
        <v>607</v>
      </c>
      <c r="E325" s="58" t="n">
        <f aca="false">ROUND($B325*E318,0)</f>
        <v>480</v>
      </c>
      <c r="F325" s="59" t="n">
        <f aca="false">ROUND($B325*F318,0)</f>
        <v>433</v>
      </c>
      <c r="G325" s="57" t="n">
        <f aca="false">ROUND($B325*G318,0)</f>
        <v>328</v>
      </c>
      <c r="H325" s="57" t="n">
        <f aca="false">ROUND($B325*H318,0)</f>
        <v>261</v>
      </c>
      <c r="I325" s="57" t="n">
        <f aca="false">ROUND($B325*I318,0)</f>
        <v>215</v>
      </c>
      <c r="J325" s="57" t="n">
        <f aca="false">ROUND($B325*J318,0)</f>
        <v>182</v>
      </c>
      <c r="K325" s="57" t="n">
        <f aca="false">ROUND($B325*K318,0)</f>
        <v>157</v>
      </c>
      <c r="L325" s="57" t="n">
        <f aca="false">ROUND($B325*L318,0)</f>
        <v>138</v>
      </c>
      <c r="M325" s="57" t="n">
        <f aca="false">ROUND($B325*M318,0)</f>
        <v>122</v>
      </c>
      <c r="N325" s="58" t="n">
        <f aca="false">ROUND($B325*N318,0)</f>
        <v>110</v>
      </c>
    </row>
    <row r="327" customFormat="false" ht="13.8" hidden="false" customHeight="false" outlineLevel="0" collapsed="false">
      <c r="A327" s="32" t="s">
        <v>19</v>
      </c>
    </row>
    <row r="328" customFormat="false" ht="13.8" hidden="false" customHeight="false" outlineLevel="0" collapsed="false">
      <c r="A328" s="6" t="s">
        <v>3</v>
      </c>
      <c r="B328" s="7" t="n">
        <v>0</v>
      </c>
      <c r="C328" s="7" t="n">
        <v>1</v>
      </c>
      <c r="D328" s="7" t="n">
        <v>2</v>
      </c>
      <c r="E328" s="8" t="n">
        <v>3</v>
      </c>
      <c r="F328" s="39" t="n">
        <v>4</v>
      </c>
      <c r="G328" s="40" t="n">
        <v>5</v>
      </c>
      <c r="H328" s="40" t="n">
        <v>6</v>
      </c>
      <c r="I328" s="40" t="n">
        <v>7</v>
      </c>
      <c r="J328" s="40" t="n">
        <v>8</v>
      </c>
      <c r="K328" s="40" t="n">
        <v>9</v>
      </c>
      <c r="L328" s="40" t="n">
        <v>10</v>
      </c>
      <c r="M328" s="40" t="n">
        <v>11</v>
      </c>
      <c r="N328" s="41" t="n">
        <v>12</v>
      </c>
    </row>
    <row r="329" customFormat="false" ht="13.8" hidden="false" customHeight="false" outlineLevel="0" collapsed="false">
      <c r="A329" s="9" t="s">
        <v>5</v>
      </c>
      <c r="B329" s="60" t="n">
        <f aca="false">B258+B294</f>
        <v>9549.91</v>
      </c>
      <c r="C329" s="61" t="n">
        <f aca="false">C258+C294</f>
        <v>14934.39</v>
      </c>
      <c r="D329" s="61" t="n">
        <f aca="false">D258+D294</f>
        <v>18684.0399999999</v>
      </c>
      <c r="E329" s="61" t="n">
        <f aca="false">E258+E294</f>
        <v>21554.2399999999</v>
      </c>
      <c r="F329" s="63" t="n">
        <f aca="false">F258+F294</f>
        <v>23952.6399999999</v>
      </c>
      <c r="G329" s="64" t="n">
        <f aca="false">G258+G294</f>
        <v>25766.4299999999</v>
      </c>
      <c r="H329" s="64" t="n">
        <f aca="false">H258+H294</f>
        <v>27205.4699999999</v>
      </c>
      <c r="I329" s="64" t="n">
        <f aca="false">I258+I294</f>
        <v>28404.6699999999</v>
      </c>
      <c r="J329" s="64" t="n">
        <f aca="false">J258+J294</f>
        <v>29408.9999999999</v>
      </c>
      <c r="K329" s="64" t="n">
        <f aca="false">K258+K294</f>
        <v>30278.4199999999</v>
      </c>
      <c r="L329" s="64" t="n">
        <f aca="false">L258+L294</f>
        <v>31042.9099999999</v>
      </c>
      <c r="M329" s="64" t="n">
        <f aca="false">M258+M294</f>
        <v>31717.4599999999</v>
      </c>
      <c r="N329" s="65" t="n">
        <f aca="false">N258+N294</f>
        <v>32332.0499999999</v>
      </c>
    </row>
    <row r="330" customFormat="false" ht="13.8" hidden="false" customHeight="false" outlineLevel="0" collapsed="false">
      <c r="A330" s="17" t="s">
        <v>6</v>
      </c>
      <c r="B330" s="66" t="n">
        <f aca="false">B259+B295</f>
        <v>6157.45</v>
      </c>
      <c r="C330" s="67" t="n">
        <f aca="false">C259+C295</f>
        <v>9150.52999999999</v>
      </c>
      <c r="D330" s="67" t="n">
        <f aca="false">D259+D295</f>
        <v>11227.18</v>
      </c>
      <c r="E330" s="68" t="n">
        <f aca="false">E259+E295</f>
        <v>12726.18</v>
      </c>
      <c r="F330" s="69" t="n">
        <f aca="false">F259+F295</f>
        <v>14075.28</v>
      </c>
      <c r="G330" s="70" t="n">
        <f aca="false">G259+G295</f>
        <v>15094.6</v>
      </c>
      <c r="H330" s="70" t="n">
        <f aca="false">H259+H295</f>
        <v>15904.06</v>
      </c>
      <c r="I330" s="70" t="n">
        <f aca="false">I259+I295</f>
        <v>16578.61</v>
      </c>
      <c r="J330" s="70" t="n">
        <f aca="false">J259+J295</f>
        <v>17148.23</v>
      </c>
      <c r="K330" s="70" t="n">
        <f aca="false">K259+K295</f>
        <v>17642.9</v>
      </c>
      <c r="L330" s="70" t="n">
        <f aca="false">L259+L295</f>
        <v>18077.61</v>
      </c>
      <c r="M330" s="70" t="n">
        <f aca="false">M259+M295</f>
        <v>18452.36</v>
      </c>
      <c r="N330" s="68" t="n">
        <f aca="false">N259+N295</f>
        <v>18797.13</v>
      </c>
    </row>
    <row r="331" customFormat="false" ht="13.8" hidden="false" customHeight="false" outlineLevel="0" collapsed="false">
      <c r="A331" s="17" t="s">
        <v>7</v>
      </c>
      <c r="B331" s="66" t="n">
        <f aca="false">B260+B296</f>
        <v>12690.21</v>
      </c>
      <c r="C331" s="67" t="n">
        <f aca="false">C260+C296</f>
        <v>18309.6199999999</v>
      </c>
      <c r="D331" s="70" t="n">
        <f aca="false">D260+D296</f>
        <v>22157.0399999999</v>
      </c>
      <c r="E331" s="68" t="n">
        <f aca="false">E260+E296</f>
        <v>25185.0199999999</v>
      </c>
      <c r="F331" s="69" t="n">
        <f aca="false">F260+F296</f>
        <v>27913.1999999999</v>
      </c>
      <c r="G331" s="70" t="n">
        <f aca="false">G260+G296</f>
        <v>29981.8199999999</v>
      </c>
      <c r="H331" s="70" t="n">
        <f aca="false">H260+H296</f>
        <v>31630.7199999999</v>
      </c>
      <c r="I331" s="70" t="n">
        <f aca="false">I260+I296</f>
        <v>32979.8199999999</v>
      </c>
      <c r="J331" s="70" t="n">
        <f aca="false">J260+J296</f>
        <v>34119.0599999999</v>
      </c>
      <c r="K331" s="70" t="n">
        <f aca="false">K260+K296</f>
        <v>35108.3999999999</v>
      </c>
      <c r="L331" s="70" t="n">
        <f aca="false">L260+L296</f>
        <v>35977.8199999999</v>
      </c>
      <c r="M331" s="70" t="n">
        <f aca="false">M260+M296</f>
        <v>36742.3099999999</v>
      </c>
      <c r="N331" s="68" t="n">
        <f aca="false">N260+N296</f>
        <v>37431.8499999999</v>
      </c>
    </row>
    <row r="332" customFormat="false" ht="13.8" hidden="false" customHeight="false" outlineLevel="0" collapsed="false">
      <c r="A332" s="25" t="s">
        <v>8</v>
      </c>
      <c r="B332" s="71" t="n">
        <f aca="false">B261+B297</f>
        <v>27261.84</v>
      </c>
      <c r="C332" s="72" t="n">
        <f aca="false">C261+C297</f>
        <v>40058.21</v>
      </c>
      <c r="D332" s="72" t="n">
        <f aca="false">D261+D297</f>
        <v>49202.07</v>
      </c>
      <c r="E332" s="73" t="n">
        <f aca="false">E261+E297</f>
        <v>56412.26</v>
      </c>
      <c r="F332" s="74" t="n">
        <f aca="false">F261+F297</f>
        <v>62887.94</v>
      </c>
      <c r="G332" s="72" t="n">
        <f aca="false">G261+G297</f>
        <v>67789.67</v>
      </c>
      <c r="H332" s="72" t="n">
        <f aca="false">H261+H297</f>
        <v>71687.07</v>
      </c>
      <c r="I332" s="72" t="n">
        <f aca="false">I261+I297</f>
        <v>74909.92</v>
      </c>
      <c r="J332" s="72" t="n">
        <f aca="false">J261+J297</f>
        <v>77638.1</v>
      </c>
      <c r="K332" s="72" t="n">
        <f aca="false">K261+K297</f>
        <v>79991.53</v>
      </c>
      <c r="L332" s="72" t="n">
        <f aca="false">L261+L297</f>
        <v>82060.15</v>
      </c>
      <c r="M332" s="72" t="n">
        <f aca="false">M261+M297</f>
        <v>83888.93</v>
      </c>
      <c r="N332" s="73" t="n">
        <f aca="false">N261+N297</f>
        <v>85537.83</v>
      </c>
    </row>
    <row r="334" customFormat="false" ht="13.8" hidden="false" customHeight="false" outlineLevel="0" collapsed="false">
      <c r="A334" s="32" t="s">
        <v>20</v>
      </c>
    </row>
    <row r="335" customFormat="false" ht="13.8" hidden="false" customHeight="false" outlineLevel="0" collapsed="false">
      <c r="A335" s="6" t="s">
        <v>3</v>
      </c>
      <c r="B335" s="7" t="n">
        <v>0</v>
      </c>
      <c r="C335" s="7" t="n">
        <v>1</v>
      </c>
      <c r="D335" s="7" t="n">
        <v>2</v>
      </c>
      <c r="E335" s="8" t="n">
        <v>3</v>
      </c>
      <c r="F335" s="39" t="n">
        <v>4</v>
      </c>
      <c r="G335" s="40" t="n">
        <v>5</v>
      </c>
      <c r="H335" s="40" t="n">
        <v>6</v>
      </c>
      <c r="I335" s="40" t="n">
        <v>7</v>
      </c>
      <c r="J335" s="40" t="n">
        <v>8</v>
      </c>
      <c r="K335" s="40" t="n">
        <v>9</v>
      </c>
      <c r="L335" s="40" t="n">
        <v>10</v>
      </c>
      <c r="M335" s="40" t="n">
        <v>11</v>
      </c>
      <c r="N335" s="41" t="n">
        <v>12</v>
      </c>
      <c r="O335" s="75" t="s">
        <v>21</v>
      </c>
      <c r="P335" s="75" t="s">
        <v>22</v>
      </c>
    </row>
    <row r="336" customFormat="false" ht="13.8" hidden="false" customHeight="false" outlineLevel="0" collapsed="false">
      <c r="A336" s="9" t="s">
        <v>5</v>
      </c>
      <c r="B336" s="76" t="n">
        <f aca="false">B329/$B322</f>
        <v>9.46472745292369</v>
      </c>
      <c r="C336" s="77" t="n">
        <f aca="false">C329/$B322</f>
        <v>14.8011793855302</v>
      </c>
      <c r="D336" s="77" t="n">
        <f aca="false">D329/$B322</f>
        <v>18.5173835480673</v>
      </c>
      <c r="E336" s="78" t="n">
        <f aca="false">E329/$B322</f>
        <v>21.3619821605549</v>
      </c>
      <c r="F336" s="79" t="n">
        <f aca="false">F329/$B322</f>
        <v>23.7389890981169</v>
      </c>
      <c r="G336" s="80" t="n">
        <f aca="false">G329/$B322</f>
        <v>25.5366005946481</v>
      </c>
      <c r="H336" s="80" t="n">
        <f aca="false">H329/$B322</f>
        <v>26.9628047571853</v>
      </c>
      <c r="I336" s="80" t="n">
        <f aca="false">I329/$B322</f>
        <v>28.1513082259662</v>
      </c>
      <c r="J336" s="80" t="n">
        <f aca="false">J329/$B322</f>
        <v>29.1466798810703</v>
      </c>
      <c r="K336" s="80" t="n">
        <f aca="false">K329/$B322</f>
        <v>30.0083448959365</v>
      </c>
      <c r="L336" s="80" t="n">
        <f aca="false">L329/$B322</f>
        <v>30.7660158572844</v>
      </c>
      <c r="M336" s="80" t="n">
        <f aca="false">M329/$B322</f>
        <v>31.4345490584737</v>
      </c>
      <c r="N336" s="81" t="n">
        <f aca="false">N329/$B322</f>
        <v>32.0436570862239</v>
      </c>
      <c r="O336" s="82" t="n">
        <f aca="false">E336</f>
        <v>21.3619821605549</v>
      </c>
      <c r="P336" s="82" t="n">
        <f aca="false">N336</f>
        <v>32.0436570862239</v>
      </c>
    </row>
    <row r="337" customFormat="false" ht="13.8" hidden="false" customHeight="false" outlineLevel="0" collapsed="false">
      <c r="A337" s="17" t="s">
        <v>6</v>
      </c>
      <c r="B337" s="83" t="n">
        <f aca="false">B330/$B323</f>
        <v>10.4186971235195</v>
      </c>
      <c r="C337" s="84" t="n">
        <f aca="false">C330/$B323</f>
        <v>15.483130287648</v>
      </c>
      <c r="D337" s="84" t="n">
        <f aca="false">D330/$B323</f>
        <v>18.9969204737732</v>
      </c>
      <c r="E337" s="85" t="n">
        <f aca="false">E330/$B323</f>
        <v>21.5332994923858</v>
      </c>
      <c r="F337" s="86" t="n">
        <f aca="false">F330/$B323</f>
        <v>23.816040609137</v>
      </c>
      <c r="G337" s="87" t="n">
        <f aca="false">G330/$B323</f>
        <v>25.5407783417935</v>
      </c>
      <c r="H337" s="87" t="n">
        <f aca="false">H330/$B323</f>
        <v>26.9104230118443</v>
      </c>
      <c r="I337" s="87" t="n">
        <f aca="false">I330/$B323</f>
        <v>28.0517935702199</v>
      </c>
      <c r="J337" s="87" t="n">
        <f aca="false">J330/$B323</f>
        <v>29.0156175972927</v>
      </c>
      <c r="K337" s="87" t="n">
        <f aca="false">K330/$B323</f>
        <v>29.8526226734348</v>
      </c>
      <c r="L337" s="87" t="n">
        <f aca="false">L330/$B323</f>
        <v>30.5881725888325</v>
      </c>
      <c r="M337" s="87" t="n">
        <f aca="false">M330/$B323</f>
        <v>31.2222673434856</v>
      </c>
      <c r="N337" s="85" t="n">
        <f aca="false">N330/$B323</f>
        <v>31.8056345177665</v>
      </c>
      <c r="O337" s="82" t="n">
        <f aca="false">E337</f>
        <v>21.5332994923858</v>
      </c>
      <c r="P337" s="82" t="n">
        <f aca="false">N337</f>
        <v>31.8056345177665</v>
      </c>
    </row>
    <row r="338" customFormat="false" ht="13.8" hidden="false" customHeight="false" outlineLevel="0" collapsed="false">
      <c r="A338" s="17" t="s">
        <v>7</v>
      </c>
      <c r="B338" s="83" t="n">
        <f aca="false">B331/$B324</f>
        <v>9.96874312647288</v>
      </c>
      <c r="C338" s="84" t="n">
        <f aca="false">C331/$B324</f>
        <v>14.3830479183032</v>
      </c>
      <c r="D338" s="87" t="n">
        <f aca="false">D331/$B324</f>
        <v>17.4053731343283</v>
      </c>
      <c r="E338" s="85" t="n">
        <f aca="false">E331/$B324</f>
        <v>19.7839905734485</v>
      </c>
      <c r="F338" s="86" t="n">
        <f aca="false">F331/$B324</f>
        <v>21.9271013354281</v>
      </c>
      <c r="G338" s="87" t="n">
        <f aca="false">G331/$B324</f>
        <v>23.5520974076983</v>
      </c>
      <c r="H338" s="87" t="n">
        <f aca="false">H331/$B324</f>
        <v>24.8473841319717</v>
      </c>
      <c r="I338" s="87" t="n">
        <f aca="false">I331/$B324</f>
        <v>25.9071641791044</v>
      </c>
      <c r="J338" s="87" t="n">
        <f aca="false">J331/$B324</f>
        <v>26.8020895522387</v>
      </c>
      <c r="K338" s="87" t="n">
        <f aca="false">K331/$B324</f>
        <v>27.5792615868028</v>
      </c>
      <c r="L338" s="87" t="n">
        <f aca="false">L331/$B324</f>
        <v>28.2622309505106</v>
      </c>
      <c r="M338" s="87" t="n">
        <f aca="false">M331/$B324</f>
        <v>28.8627729772191</v>
      </c>
      <c r="N338" s="85" t="n">
        <f aca="false">N331/$B324</f>
        <v>29.4044383346425</v>
      </c>
      <c r="O338" s="82" t="n">
        <f aca="false">E338</f>
        <v>19.7839905734485</v>
      </c>
      <c r="P338" s="82" t="n">
        <f aca="false">N338</f>
        <v>29.4044383346425</v>
      </c>
    </row>
    <row r="339" customFormat="false" ht="13.8" hidden="false" customHeight="false" outlineLevel="0" collapsed="false">
      <c r="A339" s="25" t="s">
        <v>8</v>
      </c>
      <c r="B339" s="88" t="n">
        <f aca="false">B332/$B325</f>
        <v>10.0190518191841</v>
      </c>
      <c r="C339" s="89" t="n">
        <f aca="false">C332/$B325</f>
        <v>14.7218706357957</v>
      </c>
      <c r="D339" s="89" t="n">
        <f aca="false">D332/$B325</f>
        <v>18.082348401323</v>
      </c>
      <c r="E339" s="90" t="n">
        <f aca="false">E332/$B325</f>
        <v>20.7321793458287</v>
      </c>
      <c r="F339" s="91" t="n">
        <f aca="false">F332/$B325</f>
        <v>23.1120690922455</v>
      </c>
      <c r="G339" s="89" t="n">
        <f aca="false">G332/$B325</f>
        <v>24.913513414186</v>
      </c>
      <c r="H339" s="89" t="n">
        <f aca="false">H332/$B325</f>
        <v>26.3458544652701</v>
      </c>
      <c r="I339" s="89" t="n">
        <f aca="false">I332/$B325</f>
        <v>27.5302903344359</v>
      </c>
      <c r="J339" s="89" t="n">
        <f aca="false">J332/$B325</f>
        <v>28.5329290701948</v>
      </c>
      <c r="K339" s="89" t="n">
        <f aca="false">K332/$B325</f>
        <v>29.3978427048879</v>
      </c>
      <c r="L339" s="89" t="n">
        <f aca="false">L332/$B325</f>
        <v>30.158085262771</v>
      </c>
      <c r="M339" s="89" t="n">
        <f aca="false">M332/$B325</f>
        <v>30.8301837559721</v>
      </c>
      <c r="N339" s="90" t="n">
        <f aca="false">N332/$B325</f>
        <v>31.4361742006615</v>
      </c>
      <c r="O339" s="82" t="n">
        <f aca="false">E339</f>
        <v>20.7321793458287</v>
      </c>
      <c r="P339" s="82" t="n">
        <f aca="false">N339</f>
        <v>31.4361742006615</v>
      </c>
    </row>
    <row r="340" customFormat="false" ht="13.8" hidden="false" customHeight="false" outlineLevel="0" collapsed="false">
      <c r="N340" s="92" t="s">
        <v>23</v>
      </c>
      <c r="O340" s="93" t="n">
        <f aca="false">SUMPRODUCT(O336:O339,$B322:$B325)/SUM($B322:$B325)</f>
        <v>20.7146406864497</v>
      </c>
      <c r="P340" s="93" t="n">
        <f aca="false">SUMPRODUCT(P336:P339,$B322:$B325)/SUM($B322:$B325)</f>
        <v>31.122427601001</v>
      </c>
    </row>
    <row r="344" customFormat="false" ht="15" hidden="false" customHeight="false" outlineLevel="0" collapsed="false">
      <c r="A344" s="31" t="s">
        <v>28</v>
      </c>
      <c r="B344" s="3"/>
      <c r="C344" s="3"/>
      <c r="D344" s="3"/>
    </row>
    <row r="346" customFormat="false" ht="13.8" hidden="false" customHeight="false" outlineLevel="0" collapsed="false">
      <c r="A346" s="32" t="s">
        <v>14</v>
      </c>
    </row>
    <row r="347" customFormat="false" ht="13.8" hidden="false" customHeight="false" outlineLevel="0" collapsed="false">
      <c r="A347" s="95" t="s">
        <v>29</v>
      </c>
      <c r="B347" s="95" t="s">
        <v>1</v>
      </c>
      <c r="C347" s="95" t="s">
        <v>21</v>
      </c>
      <c r="D347" s="95" t="s">
        <v>22</v>
      </c>
    </row>
    <row r="348" customFormat="false" ht="13.8" hidden="false" customHeight="false" outlineLevel="0" collapsed="false">
      <c r="A348" s="96" t="s">
        <v>30</v>
      </c>
      <c r="B348" s="97" t="n">
        <f aca="false">SUM(B33:B36)</f>
        <v>1699</v>
      </c>
      <c r="C348" s="98" t="n">
        <f aca="false">O51</f>
        <v>16.8012183637434</v>
      </c>
      <c r="D348" s="99" t="n">
        <f aca="false">P51</f>
        <v>24.168287227781</v>
      </c>
    </row>
    <row r="349" customFormat="false" ht="13.8" hidden="false" customHeight="false" outlineLevel="0" collapsed="false">
      <c r="A349" s="100" t="s">
        <v>31</v>
      </c>
      <c r="B349" s="101" t="n">
        <f aca="false">SUM(B142:B145)</f>
        <v>15197</v>
      </c>
      <c r="C349" s="102" t="n">
        <f aca="false">O160</f>
        <v>19.5429940119761</v>
      </c>
      <c r="D349" s="103" t="n">
        <f aca="false">P160</f>
        <v>31.607394222544</v>
      </c>
    </row>
    <row r="350" customFormat="false" ht="13.8" hidden="false" customHeight="false" outlineLevel="0" collapsed="false">
      <c r="A350" s="104" t="s">
        <v>32</v>
      </c>
      <c r="B350" s="105" t="n">
        <f aca="false">SUM(B251:B254)</f>
        <v>5585</v>
      </c>
      <c r="C350" s="106" t="n">
        <f aca="false">O269</f>
        <v>18.7618495971352</v>
      </c>
      <c r="D350" s="107" t="n">
        <f aca="false">P269</f>
        <v>29.1864082363473</v>
      </c>
    </row>
    <row r="351" customFormat="false" ht="13.8" hidden="false" customHeight="false" outlineLevel="0" collapsed="false">
      <c r="A351" s="108" t="s">
        <v>23</v>
      </c>
      <c r="B351" s="109"/>
      <c r="C351" s="110" t="n">
        <f aca="false">SUMPRODUCT(B348:B350,C348:C350)/SUM(B348:B350)</f>
        <v>19.1417232329523</v>
      </c>
      <c r="D351" s="111" t="n">
        <f aca="false">SUMPRODUCT(B348:B350,D348:D350)/SUM(B348:B350)</f>
        <v>30.44373381967</v>
      </c>
    </row>
    <row r="353" customFormat="false" ht="13.8" hidden="false" customHeight="false" outlineLevel="0" collapsed="false">
      <c r="A353" s="32" t="s">
        <v>24</v>
      </c>
    </row>
    <row r="354" customFormat="false" ht="13.8" hidden="false" customHeight="false" outlineLevel="0" collapsed="false">
      <c r="A354" s="95" t="s">
        <v>29</v>
      </c>
      <c r="B354" s="95" t="s">
        <v>1</v>
      </c>
      <c r="C354" s="95" t="s">
        <v>21</v>
      </c>
      <c r="D354" s="95" t="s">
        <v>22</v>
      </c>
    </row>
    <row r="355" customFormat="false" ht="13.8" hidden="false" customHeight="false" outlineLevel="0" collapsed="false">
      <c r="A355" s="96" t="s">
        <v>30</v>
      </c>
      <c r="B355" s="97" t="n">
        <f aca="false">SUM(B69:B72)</f>
        <v>628</v>
      </c>
      <c r="C355" s="98" t="n">
        <f aca="false">O87</f>
        <v>6.57122611464968</v>
      </c>
      <c r="D355" s="99" t="n">
        <f aca="false">P87</f>
        <v>6.57917197452229</v>
      </c>
    </row>
    <row r="356" customFormat="false" ht="13.8" hidden="false" customHeight="false" outlineLevel="0" collapsed="false">
      <c r="A356" s="100" t="s">
        <v>31</v>
      </c>
      <c r="B356" s="101" t="n">
        <f aca="false">SUM(B178:B181)</f>
        <v>6059</v>
      </c>
      <c r="C356" s="102" t="n">
        <f aca="false">O196</f>
        <v>5.94369202838754</v>
      </c>
      <c r="D356" s="103" t="n">
        <f aca="false">P196</f>
        <v>5.94369202838754</v>
      </c>
    </row>
    <row r="357" customFormat="false" ht="13.8" hidden="false" customHeight="false" outlineLevel="0" collapsed="false">
      <c r="A357" s="104" t="s">
        <v>32</v>
      </c>
      <c r="B357" s="105" t="n">
        <f aca="false">SUM(B287:B290)</f>
        <v>1936</v>
      </c>
      <c r="C357" s="106" t="n">
        <f aca="false">O305</f>
        <v>5.7297365702479</v>
      </c>
      <c r="D357" s="107" t="n">
        <f aca="false">P305</f>
        <v>5.7297365702479</v>
      </c>
    </row>
    <row r="358" customFormat="false" ht="13.8" hidden="false" customHeight="false" outlineLevel="0" collapsed="false">
      <c r="A358" s="108" t="s">
        <v>23</v>
      </c>
      <c r="B358" s="109"/>
      <c r="C358" s="110" t="n">
        <f aca="false">SUMPRODUCT(B355:B357,C355:C357)/SUM(B355:B357)</f>
        <v>5.94135799605706</v>
      </c>
      <c r="D358" s="111" t="n">
        <f aca="false">SUMPRODUCT(B355:B357,D355:D357)/SUM(B355:B357)</f>
        <v>5.94193668096951</v>
      </c>
    </row>
    <row r="360" customFormat="false" ht="13.8" hidden="false" customHeight="false" outlineLevel="0" collapsed="false">
      <c r="A360" s="32" t="s">
        <v>25</v>
      </c>
    </row>
    <row r="361" customFormat="false" ht="13.8" hidden="false" customHeight="false" outlineLevel="0" collapsed="false">
      <c r="A361" s="95" t="s">
        <v>29</v>
      </c>
      <c r="B361" s="95" t="s">
        <v>1</v>
      </c>
      <c r="C361" s="95" t="s">
        <v>21</v>
      </c>
      <c r="D361" s="95" t="s">
        <v>22</v>
      </c>
    </row>
    <row r="362" customFormat="false" ht="13.8" hidden="false" customHeight="false" outlineLevel="0" collapsed="false">
      <c r="A362" s="96" t="s">
        <v>30</v>
      </c>
      <c r="B362" s="97" t="n">
        <f aca="false">SUM(B104:B107)</f>
        <v>1732</v>
      </c>
      <c r="C362" s="98" t="n">
        <f aca="false">O122</f>
        <v>18.8637413394919</v>
      </c>
      <c r="D362" s="99" t="n">
        <f aca="false">P122</f>
        <v>26.0933256351039</v>
      </c>
    </row>
    <row r="363" customFormat="false" ht="13.8" hidden="false" customHeight="false" outlineLevel="0" collapsed="false">
      <c r="A363" s="100" t="s">
        <v>31</v>
      </c>
      <c r="B363" s="101" t="n">
        <f aca="false">SUM(B213:B216)</f>
        <v>15235</v>
      </c>
      <c r="C363" s="102" t="n">
        <f aca="false">O231</f>
        <v>21.8580708893995</v>
      </c>
      <c r="D363" s="103" t="n">
        <f aca="false">P231</f>
        <v>33.8923793895636</v>
      </c>
    </row>
    <row r="364" customFormat="false" ht="13.8" hidden="false" customHeight="false" outlineLevel="0" collapsed="false">
      <c r="A364" s="104" t="s">
        <v>32</v>
      </c>
      <c r="B364" s="105" t="n">
        <f aca="false">SUM(B322:B325)</f>
        <v>5594</v>
      </c>
      <c r="C364" s="106" t="n">
        <f aca="false">O340</f>
        <v>20.7146406864497</v>
      </c>
      <c r="D364" s="107" t="n">
        <f aca="false">P340</f>
        <v>31.122427601001</v>
      </c>
    </row>
    <row r="365" customFormat="false" ht="13.8" hidden="false" customHeight="false" outlineLevel="0" collapsed="false">
      <c r="A365" s="108" t="s">
        <v>23</v>
      </c>
      <c r="B365" s="109"/>
      <c r="C365" s="110" t="n">
        <f aca="false">SUMPRODUCT(B362:B364,C362:C364)/SUM(B362:B364)</f>
        <v>21.3446837462879</v>
      </c>
      <c r="D365" s="111" t="n">
        <f aca="false">SUMPRODUCT(B362:B364,D362:D364)/SUM(B362:B364)</f>
        <v>32.6068392358495</v>
      </c>
    </row>
    <row r="370" customFormat="false" ht="15" hidden="false" customHeight="false" outlineLevel="0" collapsed="false">
      <c r="A370" s="112" t="s">
        <v>33</v>
      </c>
    </row>
    <row r="371" customFormat="false" ht="13.8" hidden="false" customHeight="false" outlineLevel="0" collapsed="false">
      <c r="A371" s="1" t="s">
        <v>34</v>
      </c>
    </row>
    <row r="372" customFormat="false" ht="13.8" hidden="false" customHeight="false" outlineLevel="0" collapsed="false">
      <c r="A372" s="1" t="s">
        <v>35</v>
      </c>
    </row>
    <row r="373" customFormat="false" ht="13.8" hidden="false" customHeight="false" outlineLevel="0" collapsed="false">
      <c r="A373" s="1" t="s">
        <v>36</v>
      </c>
    </row>
    <row r="374" customFormat="false" ht="13.8" hidden="false" customHeight="false" outlineLevel="0" collapsed="false">
      <c r="A374" s="1" t="s">
        <v>37</v>
      </c>
    </row>
    <row r="376" customFormat="false" ht="15" hidden="false" customHeight="false" outlineLevel="0" collapsed="false">
      <c r="A376" s="112" t="s">
        <v>38</v>
      </c>
    </row>
    <row r="377" customFormat="false" ht="13.8" hidden="false" customHeight="false" outlineLevel="0" collapsed="false">
      <c r="A377" s="1" t="s">
        <v>39</v>
      </c>
    </row>
    <row r="378" customFormat="false" ht="13.8" hidden="false" customHeight="false" outlineLevel="0" collapsed="false">
      <c r="A378" s="1" t="s">
        <v>40</v>
      </c>
    </row>
    <row r="379" customFormat="false" ht="13.8" hidden="false" customHeight="false" outlineLevel="0" collapsed="false">
      <c r="A379" s="1" t="s">
        <v>41</v>
      </c>
    </row>
    <row r="380" customFormat="false" ht="13.8" hidden="false" customHeight="false" outlineLevel="0" collapsed="false">
      <c r="A380" s="1" t="s">
        <v>42</v>
      </c>
    </row>
    <row r="381" customFormat="false" ht="13.8" hidden="false" customHeight="false" outlineLevel="0" collapsed="false">
      <c r="A381" s="1" t="s">
        <v>43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B3:E3"/>
    <mergeCell ref="I3:L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2026-02-26T13:29:47Z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